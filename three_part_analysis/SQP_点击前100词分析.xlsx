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点击前100分析" sheetId="2" state="visible" r:id="rId2"/>
    <sheet xmlns:r="http://schemas.openxmlformats.org/officeDocument/2006/relationships" name="曝光补充9词" sheetId="3" state="visible" r:id="rId3"/>
    <sheet xmlns:r="http://schemas.openxmlformats.org/officeDocument/2006/relationships" name="字段公式" sheetId="4" state="visible" r:id="rId4"/>
  </sheets>
  <definedNames>
    <definedName name="_xlnm._FilterDatabase" localSheetId="0" hidden="1">'阅读说明'!$A$1:$C$11</definedName>
    <definedName name="_xlnm._FilterDatabase" localSheetId="1" hidden="1">'点击前100分析'!$A$1:$AB$101</definedName>
    <definedName name="_xlnm._FilterDatabase" localSheetId="2" hidden="1">'曝光补充9词'!$A$1:$AA$10</definedName>
    <definedName name="_xlnm._FilterDatabase" localSheetId="3" hidden="1">'字段公式'!$A$1:$C$29</definedName>
  </definedNames>
  <calcPr calcId="124519" calcMode="auto" fullCalcOnLoad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D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0" fontId="2" fillId="0" borderId="0" applyAlignment="1" pivotButton="0" quotePrefix="0" xfId="0">
      <alignment vertical="top"/>
    </xf>
    <xf numFmtId="2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65" customWidth="1" min="3" max="3"/>
  </cols>
  <sheetData>
    <row r="1" ht="48" customHeight="1">
      <c r="A1" s="1" t="inlineStr">
        <is>
          <t>问题</t>
        </is>
      </c>
      <c r="B1" s="1" t="inlineStr">
        <is>
          <t>结果或说明</t>
        </is>
      </c>
      <c r="C1" s="1" t="inlineStr">
        <is>
          <t>解释边界</t>
        </is>
      </c>
    </row>
    <row r="2" ht="65" customHeight="1">
      <c r="A2" s="2" t="inlineStr">
        <is>
          <t>范围</t>
        </is>
      </c>
      <c r="B2" s="2" t="inlineStr">
        <is>
          <t>仅本次SQP源页；51个ASIN、3,117条ASIN×词记录、2,410个去重词。</t>
        </is>
      </c>
      <c r="C2" s="2" t="inlineStr">
        <is>
          <t>不是商品完整流量；不使用广告数据。</t>
        </is>
      </c>
    </row>
    <row r="3" ht="65" customHeight="1">
      <c r="A3" s="2" t="inlineStr">
        <is>
          <t>点击前100覆盖</t>
        </is>
      </c>
      <c r="B3" s="2" t="inlineStr">
        <is>
          <t>38,093/47,159点击=80.78%；2,645/3,778购买=70.01%。</t>
        </is>
      </c>
      <c r="C3" s="2" t="inlineStr">
        <is>
          <t>同一组点击前100词；不是分别选择购买前100。</t>
        </is>
      </c>
    </row>
    <row r="4" ht="65" customHeight="1">
      <c r="A4" s="2" t="inlineStr">
        <is>
          <t>曝光前100覆盖</t>
        </is>
      </c>
      <c r="B4" s="2" t="inlineStr">
        <is>
          <t>2,957,580/3,416,240曝光=86.57%；点击覆盖79.56%；购买覆盖69.03%。</t>
        </is>
      </c>
      <c r="C4" s="2" t="inlineStr">
        <is>
          <t>曝光排序适合查展示规模及曝光后点击表现。</t>
        </is>
      </c>
    </row>
    <row r="5" ht="65" customHeight="1">
      <c r="A5" s="2" t="inlineStr">
        <is>
          <t>两种榜单的差异</t>
        </is>
      </c>
      <c r="B5" s="2" t="inlineStr">
        <is>
          <t>91词同时进入两榜；9词只进入曝光榜，见曝光补充词页。</t>
        </is>
      </c>
      <c r="C5" s="2" t="inlineStr">
        <is>
          <t>点击榜适合研究已有点击后的行为；单看点击榜会漏掉部分高曝光低点击词。</t>
        </is>
      </c>
    </row>
    <row r="6" ht="65" customHeight="1">
      <c r="A6" s="2" t="inlineStr">
        <is>
          <t>选词规则</t>
        </is>
      </c>
      <c r="B6" s="2" t="inlineStr">
        <is>
          <t>样本点击降序；并列时搜索词升序。第100名为coffee container，101点击、4购买；glass carafe也为101点击，按并列规则排第101。</t>
        </is>
      </c>
      <c r="C6" s="2" t="inlineStr">
        <is>
          <t>原始每ASIN前100与这张合并点击前100是不同概念；边界并列不表示表现优劣。</t>
        </is>
      </c>
    </row>
    <row r="7" ht="65" customHeight="1">
      <c r="A7" s="2" t="inlineStr">
        <is>
          <t>计数支持</t>
        </is>
      </c>
      <c r="B7" s="2" t="inlineStr">
        <is>
          <t>点击前100各词至少101点击；购买表现筛查另看市场率参考购买是否达到10。</t>
        </is>
      </c>
      <c r="C7" s="2" t="inlineStr">
        <is>
          <t>100点击和10参考购买均为工作筛选线；不代表显著性或稳定性。</t>
        </is>
      </c>
    </row>
    <row r="8" ht="65" customHeight="1">
      <c r="A8" s="2" t="inlineStr">
        <is>
          <t>结论使用</t>
        </is>
      </c>
      <c r="B8" s="2" t="inlineStr">
        <is>
          <t>CTR和购买比差只描述同词样本与市场差异；分析线索提供核查方向。</t>
        </is>
      </c>
      <c r="C8" s="2" t="inlineStr">
        <is>
          <t>不按倍率排序，不将差额当可挽回订单；不能单凭SQP确定利润、广告效果或自然量。</t>
        </is>
      </c>
    </row>
    <row r="9" ht="65" customHeight="1">
      <c r="A9" s="2" t="inlineStr">
        <is>
          <t>mason jars</t>
        </is>
      </c>
      <c r="B9" s="2" t="inlineStr">
        <is>
          <t>1,549点击/60购买；CTR样本0.56%、市场1.29%；购买/点击样本3.87%、市场12.42%。</t>
        </is>
      </c>
      <c r="C9" s="2" t="inlineStr">
        <is>
          <t>CTR及购买比均低于市场（描述）；先查词意图与主力ASIN，再核查商品和展示条件</t>
        </is>
      </c>
    </row>
    <row r="10" ht="65" customHeight="1">
      <c r="A10" s="2" t="inlineStr">
        <is>
          <t>cold brew pitcher</t>
        </is>
      </c>
      <c r="B10" s="2" t="inlineStr">
        <is>
          <t>1,181点击/69购买；CTR样本2.48%、市场2.24%；购买/点击样本5.84%、市场11.97%。</t>
        </is>
      </c>
      <c r="C10" s="2" t="inlineStr">
        <is>
          <t>CTR不低，购买比低于市场（描述）；查主力ASIN规格、功能、价格、库存及页面；原因待验证</t>
        </is>
      </c>
    </row>
    <row r="11" ht="65" customHeight="1">
      <c r="A11" s="2" t="inlineStr">
        <is>
          <t>tea pitcher for fridge</t>
        </is>
      </c>
      <c r="B11" s="2" t="inlineStr">
        <is>
          <t>305点击/46购买；CTR样本2.43%、市场1.65%；购买/点击样本15.08%、市场13.17%。</t>
        </is>
      </c>
      <c r="C11" s="2" t="inlineStr">
        <is>
          <t>CTR及购买比均不低于市场（描述）；确认相关性和表现稳定性；增长测试还需成本、利润与库存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40" customWidth="1" min="25" max="25"/>
    <col width="65" customWidth="1" min="26" max="26"/>
    <col width="22" customWidth="1" min="27" max="27"/>
    <col width="22" customWidth="1" min="28" max="28"/>
  </cols>
  <sheetData>
    <row r="1" ht="48" customHeight="1">
      <c r="A1" s="1" t="inlineStr">
        <is>
          <t>点击排名</t>
        </is>
      </c>
      <c r="B1" s="1" t="inlineStr">
        <is>
          <t>搜索词</t>
        </is>
      </c>
      <c r="C1" s="1" t="inlineStr">
        <is>
          <t>市场搜索量</t>
        </is>
      </c>
      <c r="D1" s="1" t="inlineStr">
        <is>
          <t>收录ASIN数</t>
        </is>
      </c>
      <c r="E1" s="1" t="inlineStr">
        <is>
          <t>样本曝光</t>
        </is>
      </c>
      <c r="F1" s="1" t="inlineStr">
        <is>
          <t>样本点击</t>
        </is>
      </c>
      <c r="G1" s="1" t="inlineStr">
        <is>
          <t>点击贡献占比</t>
        </is>
      </c>
      <c r="H1" s="1" t="inlineStr">
        <is>
          <t>样本加购</t>
        </is>
      </c>
      <c r="I1" s="1" t="inlineStr">
        <is>
          <t>样本购买</t>
        </is>
      </c>
      <c r="J1" s="1" t="inlineStr">
        <is>
          <t>购买贡献占比</t>
        </is>
      </c>
      <c r="K1" s="1" t="inlineStr">
        <is>
          <t>样本CTR</t>
        </is>
      </c>
      <c r="L1" s="1" t="inlineStr">
        <is>
          <t>市场CTR</t>
        </is>
      </c>
      <c r="M1" s="1" t="inlineStr">
        <is>
          <t>CTR差_百分点</t>
        </is>
      </c>
      <c r="N1" s="1" t="inlineStr">
        <is>
          <t>样本加购点击比</t>
        </is>
      </c>
      <c r="O1" s="1" t="inlineStr">
        <is>
          <t>样本购买点击比</t>
        </is>
      </c>
      <c r="P1" s="1" t="inlineStr">
        <is>
          <t>市场购买点击比</t>
        </is>
      </c>
      <c r="Q1" s="1" t="inlineStr">
        <is>
          <t>购买比差_百分点</t>
        </is>
      </c>
      <c r="R1" s="1" t="inlineStr">
        <is>
          <t>主要点击ASIN</t>
        </is>
      </c>
      <c r="S1" s="1" t="inlineStr">
        <is>
          <t>主要ASIN点击</t>
        </is>
      </c>
      <c r="T1" s="1" t="inlineStr">
        <is>
          <t>主要ASIN点击占比</t>
        </is>
      </c>
      <c r="U1" s="1" t="inlineStr">
        <is>
          <t>市场曝光</t>
        </is>
      </c>
      <c r="V1" s="1" t="inlineStr">
        <is>
          <t>市场点击</t>
        </is>
      </c>
      <c r="W1" s="1" t="inlineStr">
        <is>
          <t>市场购买</t>
        </is>
      </c>
      <c r="X1" s="1" t="inlineStr">
        <is>
          <t>市场率参考购买</t>
        </is>
      </c>
      <c r="Y1" s="1" t="inlineStr">
        <is>
          <t>分析线索</t>
        </is>
      </c>
      <c r="Z1" s="1" t="inlineStr">
        <is>
          <t>下一步检查</t>
        </is>
      </c>
      <c r="AA1" s="1" t="inlineStr">
        <is>
          <t>原稿SQP首行</t>
        </is>
      </c>
      <c r="AB1" s="1" t="inlineStr">
        <is>
          <t>曝光排名_仅曝光前100</t>
        </is>
      </c>
    </row>
    <row r="2">
      <c r="A2" s="3" t="n">
        <v>1</v>
      </c>
      <c r="B2" s="4" t="inlineStr">
        <is>
          <t>mason jar pitcher</t>
        </is>
      </c>
      <c r="C2" s="3" t="n">
        <v>25518</v>
      </c>
      <c r="D2" s="3" t="n">
        <v>15</v>
      </c>
      <c r="E2" s="3" t="n">
        <v>103563</v>
      </c>
      <c r="F2" s="3" t="n">
        <v>2650</v>
      </c>
      <c r="G2" s="5">
        <f>F2/47159</f>
        <v>0.056192879407960306</v>
      </c>
      <c r="H2" s="3" t="n">
        <v>911</v>
      </c>
      <c r="I2" s="3" t="n">
        <v>217</v>
      </c>
      <c r="J2" s="5">
        <f>I2/3778</f>
        <v>0.05743779777660138</v>
      </c>
      <c r="K2" s="5">
        <f>IFERROR(IF(AND(ISNUMBER(F2),ISNUMBER(E2),E2&gt;0),F2/E2,""),"")</f>
        <v>0.02558828925388411</v>
      </c>
      <c r="L2" s="5">
        <f>IFERROR(IF(AND(ISNUMBER(V2),ISNUMBER(U2),U2&gt;0),V2/U2,""),"")</f>
        <v>0.018127602794583742</v>
      </c>
      <c r="M2" s="6">
        <f>IFERROR(IF(AND(ISNUMBER(K2),ISNUMBER(L2)),(K2-L2)*100,""),"")</f>
        <v>0.7460686459300366</v>
      </c>
      <c r="N2" s="5">
        <f>IFERROR(IF(AND(ISNUMBER(H2),ISNUMBER(F2),F2&gt;0),H2/F2,""),"")</f>
        <v>0.3437735849056604</v>
      </c>
      <c r="O2" s="5">
        <f>IFERROR(IF(AND(ISNUMBER(I2),ISNUMBER(F2),F2&gt;0),I2/F2,""),"")</f>
        <v>0.08188679245283019</v>
      </c>
      <c r="P2" s="5">
        <f>IFERROR(IF(AND(ISNUMBER(W2),ISNUMBER(V2),V2&gt;0),W2/V2,""),"")</f>
        <v>0.0968235399982003</v>
      </c>
      <c r="Q2" s="6">
        <f>IFERROR(IF(AND(ISNUMBER(O2),ISNUMBER(P2)),(O2-P2)*100,""),"")</f>
        <v>-1.493674754537011</v>
      </c>
      <c r="R2" s="4" t="inlineStr">
        <is>
          <t>B0DGCVK1JL</t>
        </is>
      </c>
      <c r="S2" s="3" t="n">
        <v>1848</v>
      </c>
      <c r="T2" s="5">
        <f>IFERROR(S2/F2,"")</f>
        <v>0.6973584905660377</v>
      </c>
      <c r="U2" s="3" t="n">
        <v>613043</v>
      </c>
      <c r="V2" s="3" t="n">
        <v>11113</v>
      </c>
      <c r="W2" s="3" t="n">
        <v>1076</v>
      </c>
      <c r="X2" s="6">
        <f>IFERROR(IF(ISNUMBER(P2),F2*P2,""),"")</f>
        <v>256.5823809952308</v>
      </c>
      <c r="Y2" s="2" t="inlineStr">
        <is>
          <t>CTR不低，购买比低于市场（描述）</t>
        </is>
      </c>
      <c r="Z2" s="2" t="inlineStr">
        <is>
          <t>查主力ASIN规格、功能、价格、库存及页面；原因待验证</t>
        </is>
      </c>
      <c r="AA2" s="3" t="n">
        <v>331</v>
      </c>
      <c r="AB2" s="3" t="n">
        <v>6</v>
      </c>
    </row>
    <row r="3">
      <c r="A3" s="3" t="n">
        <v>2</v>
      </c>
      <c r="B3" s="4" t="inlineStr">
        <is>
          <t>kitchen</t>
        </is>
      </c>
      <c r="C3" s="3" t="n">
        <v>1118626</v>
      </c>
      <c r="D3" s="3" t="n">
        <v>3</v>
      </c>
      <c r="E3" s="3" t="n">
        <v>144857</v>
      </c>
      <c r="F3" s="3" t="n">
        <v>2205</v>
      </c>
      <c r="G3" s="5">
        <f>F3/47159</f>
        <v>0.046756716639453764</v>
      </c>
      <c r="H3" s="3" t="n">
        <v>662</v>
      </c>
      <c r="I3" s="3" t="n">
        <v>22</v>
      </c>
      <c r="J3" s="5">
        <f>I3/3778</f>
        <v>0.005823186871360508</v>
      </c>
      <c r="K3" s="5">
        <f>IFERROR(IF(AND(ISNUMBER(F3),ISNUMBER(E3),E3&gt;0),F3/E3,""),"")</f>
        <v>0.015221908502868345</v>
      </c>
      <c r="L3" s="5">
        <f>IFERROR(IF(AND(ISNUMBER(V3),ISNUMBER(U3),U3&gt;0),V3/U3,""),"")</f>
        <v>0.008750667484673685</v>
      </c>
      <c r="M3" s="6">
        <f>IFERROR(IF(AND(ISNUMBER(K3),ISNUMBER(L3)),(K3-L3)*100,""),"")</f>
        <v>0.647124101819466</v>
      </c>
      <c r="N3" s="5">
        <f>IFERROR(IF(AND(ISNUMBER(H3),ISNUMBER(F3),F3&gt;0),H3/F3,""),"")</f>
        <v>0.3002267573696145</v>
      </c>
      <c r="O3" s="5">
        <f>IFERROR(IF(AND(ISNUMBER(I3),ISNUMBER(F3),F3&gt;0),I3/F3,""),"")</f>
        <v>0.009977324263038548</v>
      </c>
      <c r="P3" s="5">
        <f>IFERROR(IF(AND(ISNUMBER(W3),ISNUMBER(V3),V3&gt;0),W3/V3,""),"")</f>
        <v>0.012420432308418992</v>
      </c>
      <c r="Q3" s="6">
        <f>IFERROR(IF(AND(ISNUMBER(O3),ISNUMBER(P3)),(O3-P3)*100,""),"")</f>
        <v>-0.24431080453804435</v>
      </c>
      <c r="R3" s="4" t="inlineStr">
        <is>
          <t>B0DGCVK1JL</t>
        </is>
      </c>
      <c r="S3" s="3" t="n">
        <v>2202</v>
      </c>
      <c r="T3" s="5">
        <f>IFERROR(S3/F3,"")</f>
        <v>0.998639455782313</v>
      </c>
      <c r="U3" s="3" t="n">
        <v>25403205</v>
      </c>
      <c r="V3" s="3" t="n">
        <v>222295</v>
      </c>
      <c r="W3" s="3" t="n">
        <v>2761</v>
      </c>
      <c r="X3" s="6">
        <f>IFERROR(IF(ISNUMBER(P3),F3*P3,""),"")</f>
        <v>27.387053240063878</v>
      </c>
      <c r="Y3" s="2" t="inlineStr">
        <is>
          <t>CTR不低，购买比低于市场（描述）</t>
        </is>
      </c>
      <c r="Z3" s="2" t="inlineStr">
        <is>
          <t>查主力ASIN规格、功能、价格、库存及页面；原因待验证</t>
        </is>
      </c>
      <c r="AA3" s="3" t="n">
        <v>248</v>
      </c>
      <c r="AB3" s="3" t="n">
        <v>2</v>
      </c>
    </row>
    <row r="4">
      <c r="A4" s="3" t="n">
        <v>3</v>
      </c>
      <c r="B4" s="4" t="inlineStr">
        <is>
          <t>glass pitcher with lid</t>
        </is>
      </c>
      <c r="C4" s="3" t="n">
        <v>65208</v>
      </c>
      <c r="D4" s="3" t="n">
        <v>17</v>
      </c>
      <c r="E4" s="3" t="n">
        <v>116309</v>
      </c>
      <c r="F4" s="3" t="n">
        <v>2204</v>
      </c>
      <c r="G4" s="5">
        <f>F4/47159</f>
        <v>0.04673551177929981</v>
      </c>
      <c r="H4" s="3" t="n">
        <v>657</v>
      </c>
      <c r="I4" s="3" t="n">
        <v>224</v>
      </c>
      <c r="J4" s="5">
        <f>I4/3778</f>
        <v>0.059290629962943354</v>
      </c>
      <c r="K4" s="5">
        <f>IFERROR(IF(AND(ISNUMBER(F4),ISNUMBER(E4),E4&gt;0),F4/E4,""),"")</f>
        <v>0.01894952239293606</v>
      </c>
      <c r="L4" s="5">
        <f>IFERROR(IF(AND(ISNUMBER(V4),ISNUMBER(U4),U4&gt;0),V4/U4,""),"")</f>
        <v>0.017667822279093564</v>
      </c>
      <c r="M4" s="6">
        <f>IFERROR(IF(AND(ISNUMBER(K4),ISNUMBER(L4)),(K4-L4)*100,""),"")</f>
        <v>0.12817001138424947</v>
      </c>
      <c r="N4" s="5">
        <f>IFERROR(IF(AND(ISNUMBER(H4),ISNUMBER(F4),F4&gt;0),H4/F4,""),"")</f>
        <v>0.2980943738656987</v>
      </c>
      <c r="O4" s="5">
        <f>IFERROR(IF(AND(ISNUMBER(I4),ISNUMBER(F4),F4&gt;0),I4/F4,""),"")</f>
        <v>0.10163339382940109</v>
      </c>
      <c r="P4" s="5">
        <f>IFERROR(IF(AND(ISNUMBER(W4),ISNUMBER(V4),V4&gt;0),W4/V4,""),"")</f>
        <v>0.11025815437437243</v>
      </c>
      <c r="Q4" s="6">
        <f>IFERROR(IF(AND(ISNUMBER(O4),ISNUMBER(P4)),(O4-P4)*100,""),"")</f>
        <v>-0.8624760544971342</v>
      </c>
      <c r="R4" s="4" t="inlineStr">
        <is>
          <t>B0DGCVK1JL</t>
        </is>
      </c>
      <c r="S4" s="3" t="n">
        <v>1858</v>
      </c>
      <c r="T4" s="5">
        <f>IFERROR(S4/F4,"")</f>
        <v>0.8430127041742287</v>
      </c>
      <c r="U4" s="3" t="n">
        <v>1747414</v>
      </c>
      <c r="V4" s="3" t="n">
        <v>30873</v>
      </c>
      <c r="W4" s="3" t="n">
        <v>3404</v>
      </c>
      <c r="X4" s="6">
        <f>IFERROR(IF(ISNUMBER(P4),F4*P4,""),"")</f>
        <v>243.00897224111685</v>
      </c>
      <c r="Y4" s="2" t="inlineStr">
        <is>
          <t>CTR不低，购买比低于市场（描述）</t>
        </is>
      </c>
      <c r="Z4" s="2" t="inlineStr">
        <is>
          <t>查主力ASIN规格、功能、价格、库存及页面；原因待验证</t>
        </is>
      </c>
      <c r="AA4" s="3" t="n">
        <v>310</v>
      </c>
      <c r="AB4" s="3" t="n">
        <v>3</v>
      </c>
    </row>
    <row r="5">
      <c r="A5" s="3" t="n">
        <v>4</v>
      </c>
      <c r="B5" s="4" t="inlineStr">
        <is>
          <t>pitcher</t>
        </is>
      </c>
      <c r="C5" s="3" t="n">
        <v>81737</v>
      </c>
      <c r="D5" s="3" t="n">
        <v>11</v>
      </c>
      <c r="E5" s="3" t="n">
        <v>104198</v>
      </c>
      <c r="F5" s="3" t="n">
        <v>2070</v>
      </c>
      <c r="G5" s="5">
        <f>F5/47159</f>
        <v>0.04389406051867088</v>
      </c>
      <c r="H5" s="3" t="n">
        <v>755</v>
      </c>
      <c r="I5" s="3" t="n">
        <v>284</v>
      </c>
      <c r="J5" s="5">
        <f>I5/3778</f>
        <v>0.07517204870301747</v>
      </c>
      <c r="K5" s="5">
        <f>IFERROR(IF(AND(ISNUMBER(F5),ISNUMBER(E5),E5&gt;0),F5/E5,""),"")</f>
        <v>0.019866024299890594</v>
      </c>
      <c r="L5" s="5">
        <f>IFERROR(IF(AND(ISNUMBER(V5),ISNUMBER(U5),U5&gt;0),V5/U5,""),"")</f>
        <v>0.011729709689576012</v>
      </c>
      <c r="M5" s="6">
        <f>IFERROR(IF(AND(ISNUMBER(K5),ISNUMBER(L5)),(K5-L5)*100,""),"")</f>
        <v>0.8136314610314582</v>
      </c>
      <c r="N5" s="5">
        <f>IFERROR(IF(AND(ISNUMBER(H5),ISNUMBER(F5),F5&gt;0),H5/F5,""),"")</f>
        <v>0.3647342995169082</v>
      </c>
      <c r="O5" s="5">
        <f>IFERROR(IF(AND(ISNUMBER(I5),ISNUMBER(F5),F5&gt;0),I5/F5,""),"")</f>
        <v>0.13719806763285025</v>
      </c>
      <c r="P5" s="5">
        <f>IFERROR(IF(AND(ISNUMBER(W5),ISNUMBER(V5),V5&gt;0),W5/V5,""),"")</f>
        <v>0.14694166263355796</v>
      </c>
      <c r="Q5" s="6">
        <f>IFERROR(IF(AND(ISNUMBER(O5),ISNUMBER(P5)),(O5-P5)*100,""),"")</f>
        <v>-0.9743595000707705</v>
      </c>
      <c r="R5" s="4" t="inlineStr">
        <is>
          <t>B0DGCVK1JL</t>
        </is>
      </c>
      <c r="S5" s="3" t="n">
        <v>1957</v>
      </c>
      <c r="T5" s="5">
        <f>IFERROR(S5/F5,"")</f>
        <v>0.9454106280193236</v>
      </c>
      <c r="U5" s="3" t="n">
        <v>2289997</v>
      </c>
      <c r="V5" s="3" t="n">
        <v>26861</v>
      </c>
      <c r="W5" s="3" t="n">
        <v>3947</v>
      </c>
      <c r="X5" s="6">
        <f>IFERROR(IF(ISNUMBER(P5),F5*P5,""),"")</f>
        <v>304.169241651465</v>
      </c>
      <c r="Y5" s="2" t="inlineStr">
        <is>
          <t>CTR不低，购买比低于市场（描述）</t>
        </is>
      </c>
      <c r="Z5" s="2" t="inlineStr">
        <is>
          <t>查主力ASIN规格、功能、价格、库存及页面；原因待验证</t>
        </is>
      </c>
      <c r="AA5" s="3" t="n">
        <v>326</v>
      </c>
      <c r="AB5" s="3" t="n">
        <v>5</v>
      </c>
    </row>
    <row r="6">
      <c r="A6" s="3" t="n">
        <v>5</v>
      </c>
      <c r="B6" s="4" t="inlineStr">
        <is>
          <t>pitcher with lid</t>
        </is>
      </c>
      <c r="C6" s="3" t="n">
        <v>49361</v>
      </c>
      <c r="D6" s="3" t="n">
        <v>12</v>
      </c>
      <c r="E6" s="3" t="n">
        <v>75078</v>
      </c>
      <c r="F6" s="3" t="n">
        <v>1591</v>
      </c>
      <c r="G6" s="5">
        <f>F6/47159</f>
        <v>0.03373693250493013</v>
      </c>
      <c r="H6" s="3" t="n">
        <v>598</v>
      </c>
      <c r="I6" s="3" t="n">
        <v>213</v>
      </c>
      <c r="J6" s="5">
        <f>I6/3778</f>
        <v>0.0563790365272631</v>
      </c>
      <c r="K6" s="5">
        <f>IFERROR(IF(AND(ISNUMBER(F6),ISNUMBER(E6),E6&gt;0),F6/E6,""),"")</f>
        <v>0.021191294387170677</v>
      </c>
      <c r="L6" s="5">
        <f>IFERROR(IF(AND(ISNUMBER(V6),ISNUMBER(U6),U6&gt;0),V6/U6,""),"")</f>
        <v>0.014825583619627677</v>
      </c>
      <c r="M6" s="6">
        <f>IFERROR(IF(AND(ISNUMBER(K6),ISNUMBER(L6)),(K6-L6)*100,""),"")</f>
        <v>0.6365710767543</v>
      </c>
      <c r="N6" s="5">
        <f>IFERROR(IF(AND(ISNUMBER(H6),ISNUMBER(F6),F6&gt;0),H6/F6,""),"")</f>
        <v>0.3758642363293526</v>
      </c>
      <c r="O6" s="5">
        <f>IFERROR(IF(AND(ISNUMBER(I6),ISNUMBER(F6),F6&gt;0),I6/F6,""),"")</f>
        <v>0.13387806411062225</v>
      </c>
      <c r="P6" s="5">
        <f>IFERROR(IF(AND(ISNUMBER(W6),ISNUMBER(V6),V6&gt;0),W6/V6,""),"")</f>
        <v>0.14156688687035507</v>
      </c>
      <c r="Q6" s="6">
        <f>IFERROR(IF(AND(ISNUMBER(O6),ISNUMBER(P6)),(O6-P6)*100,""),"")</f>
        <v>-0.7688822759732816</v>
      </c>
      <c r="R6" s="4" t="inlineStr">
        <is>
          <t>B0DGCVK1JL</t>
        </is>
      </c>
      <c r="S6" s="3" t="n">
        <v>1456</v>
      </c>
      <c r="T6" s="5">
        <f>IFERROR(S6/F6,"")</f>
        <v>0.9151477058453803</v>
      </c>
      <c r="U6" s="3" t="n">
        <v>1306930</v>
      </c>
      <c r="V6" s="3" t="n">
        <v>19376</v>
      </c>
      <c r="W6" s="3" t="n">
        <v>2743</v>
      </c>
      <c r="X6" s="6">
        <f>IFERROR(IF(ISNUMBER(P6),F6*P6,""),"")</f>
        <v>225.23291701073492</v>
      </c>
      <c r="Y6" s="2" t="inlineStr">
        <is>
          <t>CTR不低，购买比低于市场（描述）</t>
        </is>
      </c>
      <c r="Z6" s="2" t="inlineStr">
        <is>
          <t>查主力ASIN规格、功能、价格、库存及页面；原因待验证</t>
        </is>
      </c>
      <c r="AA6" s="3" t="n">
        <v>321</v>
      </c>
      <c r="AB6" s="3" t="n">
        <v>8</v>
      </c>
    </row>
    <row r="7">
      <c r="A7" s="3" t="n">
        <v>6</v>
      </c>
      <c r="B7" s="4" t="inlineStr">
        <is>
          <t>mason jars</t>
        </is>
      </c>
      <c r="C7" s="3" t="n">
        <v>345722</v>
      </c>
      <c r="D7" s="3" t="n">
        <v>13</v>
      </c>
      <c r="E7" s="3" t="n">
        <v>278140</v>
      </c>
      <c r="F7" s="3" t="n">
        <v>1549</v>
      </c>
      <c r="G7" s="5">
        <f>F7/47159</f>
        <v>0.032846328378464344</v>
      </c>
      <c r="H7" s="3" t="n">
        <v>599</v>
      </c>
      <c r="I7" s="3" t="n">
        <v>60</v>
      </c>
      <c r="J7" s="5">
        <f>I7/3778</f>
        <v>0.015881418740074114</v>
      </c>
      <c r="K7" s="5">
        <f>IFERROR(IF(AND(ISNUMBER(F7),ISNUMBER(E7),E7&gt;0),F7/E7,""),"")</f>
        <v>0.005569137844251096</v>
      </c>
      <c r="L7" s="5">
        <f>IFERROR(IF(AND(ISNUMBER(V7),ISNUMBER(U7),U7&gt;0),V7/U7,""),"")</f>
        <v>0.01287780246456207</v>
      </c>
      <c r="M7" s="6">
        <f>IFERROR(IF(AND(ISNUMBER(K7),ISNUMBER(L7)),(K7-L7)*100,""),"")</f>
        <v>-0.7308664620310974</v>
      </c>
      <c r="N7" s="5">
        <f>IFERROR(IF(AND(ISNUMBER(H7),ISNUMBER(F7),F7&gt;0),H7/F7,""),"")</f>
        <v>0.3867010974822466</v>
      </c>
      <c r="O7" s="5">
        <f>IFERROR(IF(AND(ISNUMBER(I7),ISNUMBER(F7),F7&gt;0),I7/F7,""),"")</f>
        <v>0.03873466752743705</v>
      </c>
      <c r="P7" s="5">
        <f>IFERROR(IF(AND(ISNUMBER(W7),ISNUMBER(V7),V7&gt;0),W7/V7,""),"")</f>
        <v>0.12418046140519577</v>
      </c>
      <c r="Q7" s="6">
        <f>IFERROR(IF(AND(ISNUMBER(O7),ISNUMBER(P7)),(O7-P7)*100,""),"")</f>
        <v>-8.544579387775872</v>
      </c>
      <c r="R7" s="4" t="inlineStr">
        <is>
          <t>B0DGCVK1JL</t>
        </is>
      </c>
      <c r="S7" s="3" t="n">
        <v>1465</v>
      </c>
      <c r="T7" s="5">
        <f>IFERROR(S7/F7,"")</f>
        <v>0.9457714654615881</v>
      </c>
      <c r="U7" s="3" t="n">
        <v>9771310</v>
      </c>
      <c r="V7" s="3" t="n">
        <v>125833</v>
      </c>
      <c r="W7" s="3" t="n">
        <v>15626</v>
      </c>
      <c r="X7" s="6">
        <f>IFERROR(IF(ISNUMBER(P7),F7*P7,""),"")</f>
        <v>192.35553471664824</v>
      </c>
      <c r="Y7" s="2" t="inlineStr">
        <is>
          <t>CTR及购买比均低于市场（描述）</t>
        </is>
      </c>
      <c r="Z7" s="2" t="inlineStr">
        <is>
          <t>先查词意图与主力ASIN，再核查商品和展示条件</t>
        </is>
      </c>
      <c r="AA7" s="3" t="n">
        <v>207</v>
      </c>
      <c r="AB7" s="3" t="n">
        <v>1</v>
      </c>
    </row>
    <row r="8">
      <c r="A8" s="3" t="n">
        <v>7</v>
      </c>
      <c r="B8" s="4" t="inlineStr">
        <is>
          <t>home</t>
        </is>
      </c>
      <c r="C8" s="3" t="n">
        <v>670520</v>
      </c>
      <c r="D8" s="3" t="n">
        <v>2</v>
      </c>
      <c r="E8" s="3" t="n">
        <v>108172</v>
      </c>
      <c r="F8" s="3" t="n">
        <v>1385</v>
      </c>
      <c r="G8" s="5">
        <f>F8/47159</f>
        <v>0.02936873131321699</v>
      </c>
      <c r="H8" s="3" t="n">
        <v>276</v>
      </c>
      <c r="I8" s="3" t="n">
        <v>11</v>
      </c>
      <c r="J8" s="5">
        <f>I8/3778</f>
        <v>0.002911593435680254</v>
      </c>
      <c r="K8" s="5">
        <f>IFERROR(IF(AND(ISNUMBER(F8),ISNUMBER(E8),E8&gt;0),F8/E8,""),"")</f>
        <v>0.01280368302333321</v>
      </c>
      <c r="L8" s="5">
        <f>IFERROR(IF(AND(ISNUMBER(V8),ISNUMBER(U8),U8&gt;0),V8/U8,""),"")</f>
        <v>0.011191493388502219</v>
      </c>
      <c r="M8" s="6">
        <f>IFERROR(IF(AND(ISNUMBER(K8),ISNUMBER(L8)),(K8-L8)*100,""),"")</f>
        <v>0.16121896348309916</v>
      </c>
      <c r="N8" s="5">
        <f>IFERROR(IF(AND(ISNUMBER(H8),ISNUMBER(F8),F8&gt;0),H8/F8,""),"")</f>
        <v>0.19927797833935018</v>
      </c>
      <c r="O8" s="5">
        <f>IFERROR(IF(AND(ISNUMBER(I8),ISNUMBER(F8),F8&gt;0),I8/F8,""),"")</f>
        <v>0.007942238267148015</v>
      </c>
      <c r="P8" s="5">
        <f>IFERROR(IF(AND(ISNUMBER(W8),ISNUMBER(V8),V8&gt;0),W8/V8,""),"")</f>
        <v>0.006813539161689034</v>
      </c>
      <c r="Q8" s="6">
        <f>IFERROR(IF(AND(ISNUMBER(O8),ISNUMBER(P8)),(O8-P8)*100,""),"")</f>
        <v>0.11286991054589804</v>
      </c>
      <c r="R8" s="4" t="inlineStr">
        <is>
          <t>B0DGCVK1JL</t>
        </is>
      </c>
      <c r="S8" s="3" t="n">
        <v>1384</v>
      </c>
      <c r="T8" s="5">
        <f>IFERROR(S8/F8,"")</f>
        <v>0.9992779783393502</v>
      </c>
      <c r="U8" s="3" t="n">
        <v>13822284</v>
      </c>
      <c r="V8" s="3" t="n">
        <v>154692</v>
      </c>
      <c r="W8" s="3" t="n">
        <v>1054</v>
      </c>
      <c r="X8" s="6">
        <f>IFERROR(IF(ISNUMBER(P8),F8*P8,""),"")</f>
        <v>9.436751738939313</v>
      </c>
      <c r="Y8" s="2" t="inlineStr">
        <is>
          <t>购买基准计数少，先观察</t>
        </is>
      </c>
      <c r="Z8" s="2" t="inlineStr">
        <is>
          <t>核查词意图和主力ASIN；不凭比率判断购买优劣</t>
        </is>
      </c>
      <c r="AA8" s="3" t="n">
        <v>302</v>
      </c>
      <c r="AB8" s="3" t="n">
        <v>4</v>
      </c>
    </row>
    <row r="9">
      <c r="A9" s="3" t="n">
        <v>8</v>
      </c>
      <c r="B9" s="4" t="inlineStr">
        <is>
          <t>glass pitcher</t>
        </is>
      </c>
      <c r="C9" s="3" t="n">
        <v>48440</v>
      </c>
      <c r="D9" s="3" t="n">
        <v>14</v>
      </c>
      <c r="E9" s="3" t="n">
        <v>71900</v>
      </c>
      <c r="F9" s="3" t="n">
        <v>1337</v>
      </c>
      <c r="G9" s="5">
        <f>F9/47159</f>
        <v>0.02835089802582752</v>
      </c>
      <c r="H9" s="3" t="n">
        <v>354</v>
      </c>
      <c r="I9" s="3" t="n">
        <v>109</v>
      </c>
      <c r="J9" s="5">
        <f>I9/3778</f>
        <v>0.028851244044467973</v>
      </c>
      <c r="K9" s="5">
        <f>IFERROR(IF(AND(ISNUMBER(F9),ISNUMBER(E9),E9&gt;0),F9/E9,""),"")</f>
        <v>0.01859527121001391</v>
      </c>
      <c r="L9" s="5">
        <f>IFERROR(IF(AND(ISNUMBER(V9),ISNUMBER(U9),U9&gt;0),V9/U9,""),"")</f>
        <v>0.014096221181062943</v>
      </c>
      <c r="M9" s="6">
        <f>IFERROR(IF(AND(ISNUMBER(K9),ISNUMBER(L9)),(K9-L9)*100,""),"")</f>
        <v>0.4499050028950966</v>
      </c>
      <c r="N9" s="5">
        <f>IFERROR(IF(AND(ISNUMBER(H9),ISNUMBER(F9),F9&gt;0),H9/F9,""),"")</f>
        <v>0.2647718773373224</v>
      </c>
      <c r="O9" s="5">
        <f>IFERROR(IF(AND(ISNUMBER(I9),ISNUMBER(F9),F9&gt;0),I9/F9,""),"")</f>
        <v>0.08152580403889305</v>
      </c>
      <c r="P9" s="5">
        <f>IFERROR(IF(AND(ISNUMBER(W9),ISNUMBER(V9),V9&gt;0),W9/V9,""),"")</f>
        <v>0.10464100323790923</v>
      </c>
      <c r="Q9" s="6">
        <f>IFERROR(IF(AND(ISNUMBER(O9),ISNUMBER(P9)),(O9-P9)*100,""),"")</f>
        <v>-2.311519919901618</v>
      </c>
      <c r="R9" s="4" t="inlineStr">
        <is>
          <t>B0DGCVK1JL</t>
        </is>
      </c>
      <c r="S9" s="3" t="n">
        <v>1228</v>
      </c>
      <c r="T9" s="5">
        <f>IFERROR(S9/F9,"")</f>
        <v>0.9184741959611069</v>
      </c>
      <c r="U9" s="3" t="n">
        <v>1380299</v>
      </c>
      <c r="V9" s="3" t="n">
        <v>19457</v>
      </c>
      <c r="W9" s="3" t="n">
        <v>2036</v>
      </c>
      <c r="X9" s="6">
        <f>IFERROR(IF(ISNUMBER(P9),F9*P9,""),"")</f>
        <v>139.90502132908463</v>
      </c>
      <c r="Y9" s="2" t="inlineStr">
        <is>
          <t>CTR不低，购买比低于市场（描述）</t>
        </is>
      </c>
      <c r="Z9" s="2" t="inlineStr">
        <is>
          <t>查主力ASIN规格、功能、价格、库存及页面；原因待验证</t>
        </is>
      </c>
      <c r="AA9" s="3" t="n">
        <v>334</v>
      </c>
      <c r="AB9" s="3" t="n">
        <v>11</v>
      </c>
    </row>
    <row r="10">
      <c r="A10" s="3" t="n">
        <v>9</v>
      </c>
      <c r="B10" s="4" t="inlineStr">
        <is>
          <t>cold brew pitcher</t>
        </is>
      </c>
      <c r="C10" s="3" t="n">
        <v>37141</v>
      </c>
      <c r="D10" s="3" t="n">
        <v>5</v>
      </c>
      <c r="E10" s="3" t="n">
        <v>47683</v>
      </c>
      <c r="F10" s="3" t="n">
        <v>1181</v>
      </c>
      <c r="G10" s="5">
        <f>F10/47159</f>
        <v>0.025042939841811742</v>
      </c>
      <c r="H10" s="3" t="n">
        <v>267</v>
      </c>
      <c r="I10" s="3" t="n">
        <v>69</v>
      </c>
      <c r="J10" s="5">
        <f>I10/3778</f>
        <v>0.018263631551085232</v>
      </c>
      <c r="K10" s="5">
        <f>IFERROR(IF(AND(ISNUMBER(F10),ISNUMBER(E10),E10&gt;0),F10/E10,""),"")</f>
        <v>0.024767736929303945</v>
      </c>
      <c r="L10" s="5">
        <f>IFERROR(IF(AND(ISNUMBER(V10),ISNUMBER(U10),U10&gt;0),V10/U10,""),"")</f>
        <v>0.022433868360052203</v>
      </c>
      <c r="M10" s="6">
        <f>IFERROR(IF(AND(ISNUMBER(K10),ISNUMBER(L10)),(K10-L10)*100,""),"")</f>
        <v>0.23338685692517425</v>
      </c>
      <c r="N10" s="5">
        <f>IFERROR(IF(AND(ISNUMBER(H10),ISNUMBER(F10),F10&gt;0),H10/F10,""),"")</f>
        <v>0.2260795935647756</v>
      </c>
      <c r="O10" s="5">
        <f>IFERROR(IF(AND(ISNUMBER(I10),ISNUMBER(F10),F10&gt;0),I10/F10,""),"")</f>
        <v>0.05842506350550381</v>
      </c>
      <c r="P10" s="5">
        <f>IFERROR(IF(AND(ISNUMBER(W10),ISNUMBER(V10),V10&gt;0),W10/V10,""),"")</f>
        <v>0.11971563466652195</v>
      </c>
      <c r="Q10" s="6">
        <f>IFERROR(IF(AND(ISNUMBER(O10),ISNUMBER(P10)),(O10-P10)*100,""),"")</f>
        <v>-6.129057116101814</v>
      </c>
      <c r="R10" s="4" t="inlineStr">
        <is>
          <t>B0DGCVK1JL</t>
        </is>
      </c>
      <c r="S10" s="3" t="n">
        <v>960</v>
      </c>
      <c r="T10" s="5">
        <f>IFERROR(S10/F10,"")</f>
        <v>0.8128704487722269</v>
      </c>
      <c r="U10" s="3" t="n">
        <v>821392</v>
      </c>
      <c r="V10" s="3" t="n">
        <v>18427</v>
      </c>
      <c r="W10" s="3" t="n">
        <v>2206</v>
      </c>
      <c r="X10" s="6">
        <f>IFERROR(IF(ISNUMBER(P10),F10*P10,""),"")</f>
        <v>141.38416454116242</v>
      </c>
      <c r="Y10" s="2" t="inlineStr">
        <is>
          <t>CTR不低，购买比低于市场（描述）</t>
        </is>
      </c>
      <c r="Z10" s="2" t="inlineStr">
        <is>
          <t>查主力ASIN规格、功能、价格、库存及页面；原因待验证</t>
        </is>
      </c>
      <c r="AA10" s="3" t="n">
        <v>324</v>
      </c>
      <c r="AB10" s="3" t="n">
        <v>15</v>
      </c>
    </row>
    <row r="11">
      <c r="A11" s="3" t="n">
        <v>10</v>
      </c>
      <c r="B11" s="4" t="inlineStr">
        <is>
          <t>coffee bar accessories</t>
        </is>
      </c>
      <c r="C11" s="3" t="n">
        <v>363231</v>
      </c>
      <c r="D11" s="3" t="n">
        <v>4</v>
      </c>
      <c r="E11" s="3" t="n">
        <v>74096</v>
      </c>
      <c r="F11" s="3" t="n">
        <v>881</v>
      </c>
      <c r="G11" s="5">
        <f>F11/47159</f>
        <v>0.018681481795627557</v>
      </c>
      <c r="H11" s="3" t="n">
        <v>438</v>
      </c>
      <c r="I11" s="3" t="n">
        <v>20</v>
      </c>
      <c r="J11" s="5">
        <f>I11/3778</f>
        <v>0.005293806246691371</v>
      </c>
      <c r="K11" s="5">
        <f>IFERROR(IF(AND(ISNUMBER(F11),ISNUMBER(E11),E11&gt;0),F11/E11,""),"")</f>
        <v>0.011889980565752536</v>
      </c>
      <c r="L11" s="5">
        <f>IFERROR(IF(AND(ISNUMBER(V11),ISNUMBER(U11),U11&gt;0),V11/U11,""),"")</f>
        <v>0.014943345892832903</v>
      </c>
      <c r="M11" s="6">
        <f>IFERROR(IF(AND(ISNUMBER(K11),ISNUMBER(L11)),(K11-L11)*100,""),"")</f>
        <v>-0.3053365327080367</v>
      </c>
      <c r="N11" s="5">
        <f>IFERROR(IF(AND(ISNUMBER(H11),ISNUMBER(F11),F11&gt;0),H11/F11,""),"")</f>
        <v>0.49716231555051077</v>
      </c>
      <c r="O11" s="5">
        <f>IFERROR(IF(AND(ISNUMBER(I11),ISNUMBER(F11),F11&gt;0),I11/F11,""),"")</f>
        <v>0.022701475595913734</v>
      </c>
      <c r="P11" s="5">
        <f>IFERROR(IF(AND(ISNUMBER(W11),ISNUMBER(V11),V11&gt;0),W11/V11,""),"")</f>
        <v>0.04223249023202568</v>
      </c>
      <c r="Q11" s="6">
        <f>IFERROR(IF(AND(ISNUMBER(O11),ISNUMBER(P11)),(O11-P11)*100,""),"")</f>
        <v>-1.9531014636111947</v>
      </c>
      <c r="R11" s="4" t="inlineStr">
        <is>
          <t>B0DGCVK1JL</t>
        </is>
      </c>
      <c r="S11" s="3" t="n">
        <v>790</v>
      </c>
      <c r="T11" s="5">
        <f>IFERROR(S11/F11,"")</f>
        <v>0.8967082860385925</v>
      </c>
      <c r="U11" s="3" t="n">
        <v>8066935</v>
      </c>
      <c r="V11" s="3" t="n">
        <v>120547</v>
      </c>
      <c r="W11" s="3" t="n">
        <v>5091</v>
      </c>
      <c r="X11" s="6">
        <f>IFERROR(IF(ISNUMBER(P11),F11*P11,""),"")</f>
        <v>37.206823894414626</v>
      </c>
      <c r="Y11" s="2" t="inlineStr">
        <is>
          <t>CTR及购买比均低于市场（描述）</t>
        </is>
      </c>
      <c r="Z11" s="2" t="inlineStr">
        <is>
          <t>先查词意图与主力ASIN，再核查商品和展示条件</t>
        </is>
      </c>
      <c r="AA11" s="3" t="n">
        <v>285</v>
      </c>
      <c r="AB11" s="3" t="n">
        <v>10</v>
      </c>
    </row>
    <row r="12">
      <c r="A12" s="3" t="n">
        <v>11</v>
      </c>
      <c r="B12" s="4" t="inlineStr">
        <is>
          <t>tea pitcher</t>
        </is>
      </c>
      <c r="C12" s="3" t="n">
        <v>18562</v>
      </c>
      <c r="D12" s="3" t="n">
        <v>6</v>
      </c>
      <c r="E12" s="3" t="n">
        <v>32382</v>
      </c>
      <c r="F12" s="3" t="n">
        <v>726</v>
      </c>
      <c r="G12" s="5">
        <f>F12/47159</f>
        <v>0.015394728471765729</v>
      </c>
      <c r="H12" s="3" t="n">
        <v>259</v>
      </c>
      <c r="I12" s="3" t="n">
        <v>90</v>
      </c>
      <c r="J12" s="5">
        <f>I12/3778</f>
        <v>0.02382212811011117</v>
      </c>
      <c r="K12" s="5">
        <f>IFERROR(IF(AND(ISNUMBER(F12),ISNUMBER(E12),E12&gt;0),F12/E12,""),"")</f>
        <v>0.022419862886788957</v>
      </c>
      <c r="L12" s="5">
        <f>IFERROR(IF(AND(ISNUMBER(V12),ISNUMBER(U12),U12&gt;0),V12/U12,""),"")</f>
        <v>0.012953931285566425</v>
      </c>
      <c r="M12" s="6">
        <f>IFERROR(IF(AND(ISNUMBER(K12),ISNUMBER(L12)),(K12-L12)*100,""),"")</f>
        <v>0.9465931601222533</v>
      </c>
      <c r="N12" s="5">
        <f>IFERROR(IF(AND(ISNUMBER(H12),ISNUMBER(F12),F12&gt;0),H12/F12,""),"")</f>
        <v>0.35674931129476584</v>
      </c>
      <c r="O12" s="5">
        <f>IFERROR(IF(AND(ISNUMBER(I12),ISNUMBER(F12),F12&gt;0),I12/F12,""),"")</f>
        <v>0.12396694214876033</v>
      </c>
      <c r="P12" s="5">
        <f>IFERROR(IF(AND(ISNUMBER(W12),ISNUMBER(V12),V12&gt;0),W12/V12,""),"")</f>
        <v>0.12016166640758588</v>
      </c>
      <c r="Q12" s="6">
        <f>IFERROR(IF(AND(ISNUMBER(O12),ISNUMBER(P12)),(O12-P12)*100,""),"")</f>
        <v>0.3805275741174452</v>
      </c>
      <c r="R12" s="4" t="inlineStr">
        <is>
          <t>B0DGCVK1JL</t>
        </is>
      </c>
      <c r="S12" s="3" t="n">
        <v>632</v>
      </c>
      <c r="T12" s="5">
        <f>IFERROR(S12/F12,"")</f>
        <v>0.8705234159779615</v>
      </c>
      <c r="U12" s="3" t="n">
        <v>496606</v>
      </c>
      <c r="V12" s="3" t="n">
        <v>6433</v>
      </c>
      <c r="W12" s="3" t="n">
        <v>773</v>
      </c>
      <c r="X12" s="6">
        <f>IFERROR(IF(ISNUMBER(P12),F12*P12,""),"")</f>
        <v>87.23736981190736</v>
      </c>
      <c r="Y12" s="2" t="inlineStr">
        <is>
          <t>CTR及购买比均不低于市场（描述）</t>
        </is>
      </c>
      <c r="Z12" s="2" t="inlineStr">
        <is>
          <t>确认相关性和表现稳定性；增长测试还需成本、利润与库存</t>
        </is>
      </c>
      <c r="AA12" s="3" t="n">
        <v>258</v>
      </c>
      <c r="AB12" s="3" t="n">
        <v>22</v>
      </c>
    </row>
    <row r="13">
      <c r="A13" s="3" t="n">
        <v>12</v>
      </c>
      <c r="B13" s="4" t="inlineStr">
        <is>
          <t>water pitcher</t>
        </is>
      </c>
      <c r="C13" s="3" t="n">
        <v>58620</v>
      </c>
      <c r="D13" s="3" t="n">
        <v>11</v>
      </c>
      <c r="E13" s="3" t="n">
        <v>56829</v>
      </c>
      <c r="F13" s="3" t="n">
        <v>695</v>
      </c>
      <c r="G13" s="5">
        <f>F13/47159</f>
        <v>0.014737377806993362</v>
      </c>
      <c r="H13" s="3" t="n">
        <v>188</v>
      </c>
      <c r="I13" s="3" t="n">
        <v>62</v>
      </c>
      <c r="J13" s="5">
        <f>I13/3778</f>
        <v>0.01641079936474325</v>
      </c>
      <c r="K13" s="5">
        <f>IFERROR(IF(AND(ISNUMBER(F13),ISNUMBER(E13),E13&gt;0),F13/E13,""),"")</f>
        <v>0.012229671470552006</v>
      </c>
      <c r="L13" s="5">
        <f>IFERROR(IF(AND(ISNUMBER(V13),ISNUMBER(U13),U13&gt;0),V13/U13,""),"")</f>
        <v>0.011036999321113374</v>
      </c>
      <c r="M13" s="6">
        <f>IFERROR(IF(AND(ISNUMBER(K13),ISNUMBER(L13)),(K13-L13)*100,""),"")</f>
        <v>0.11926721494386322</v>
      </c>
      <c r="N13" s="5">
        <f>IFERROR(IF(AND(ISNUMBER(H13),ISNUMBER(F13),F13&gt;0),H13/F13,""),"")</f>
        <v>0.27050359712230215</v>
      </c>
      <c r="O13" s="5">
        <f>IFERROR(IF(AND(ISNUMBER(I13),ISNUMBER(F13),F13&gt;0),I13/F13,""),"")</f>
        <v>0.08920863309352518</v>
      </c>
      <c r="P13" s="5">
        <f>IFERROR(IF(AND(ISNUMBER(W13),ISNUMBER(V13),V13&gt;0),W13/V13,""),"")</f>
        <v>0.13378440719667845</v>
      </c>
      <c r="Q13" s="6">
        <f>IFERROR(IF(AND(ISNUMBER(O13),ISNUMBER(P13)),(O13-P13)*100,""),"")</f>
        <v>-4.457577410315326</v>
      </c>
      <c r="R13" s="4" t="inlineStr">
        <is>
          <t>B0DGCVK1JL</t>
        </is>
      </c>
      <c r="S13" s="3" t="n">
        <v>635</v>
      </c>
      <c r="T13" s="5">
        <f>IFERROR(S13/F13,"")</f>
        <v>0.9136690647482014</v>
      </c>
      <c r="U13" s="3" t="n">
        <v>1767600</v>
      </c>
      <c r="V13" s="3" t="n">
        <v>19509</v>
      </c>
      <c r="W13" s="3" t="n">
        <v>2610</v>
      </c>
      <c r="X13" s="6">
        <f>IFERROR(IF(ISNUMBER(P13),F13*P13,""),"")</f>
        <v>92.98016300169152</v>
      </c>
      <c r="Y13" s="2" t="inlineStr">
        <is>
          <t>CTR不低，购买比低于市场（描述）</t>
        </is>
      </c>
      <c r="Z13" s="2" t="inlineStr">
        <is>
          <t>查主力ASIN规格、功能、价格、库存及页面；原因待验证</t>
        </is>
      </c>
      <c r="AA13" s="3" t="n">
        <v>332</v>
      </c>
      <c r="AB13" s="3" t="n">
        <v>13</v>
      </c>
    </row>
    <row r="14">
      <c r="A14" s="3" t="n">
        <v>13</v>
      </c>
      <c r="B14" s="4" t="inlineStr">
        <is>
          <t>glass water bottles</t>
        </is>
      </c>
      <c r="C14" s="3" t="n">
        <v>112002</v>
      </c>
      <c r="D14" s="3" t="n">
        <v>1</v>
      </c>
      <c r="E14" s="3" t="n">
        <v>74562</v>
      </c>
      <c r="F14" s="3" t="n">
        <v>628</v>
      </c>
      <c r="G14" s="5">
        <f>F14/47159</f>
        <v>0.013316652176678895</v>
      </c>
      <c r="H14" s="3" t="n">
        <v>150</v>
      </c>
      <c r="I14" s="3" t="n">
        <v>13</v>
      </c>
      <c r="J14" s="5">
        <f>I14/3778</f>
        <v>0.003440974060349391</v>
      </c>
      <c r="K14" s="5">
        <f>IFERROR(IF(AND(ISNUMBER(F14),ISNUMBER(E14),E14&gt;0),F14/E14,""),"")</f>
        <v>0.008422520855127277</v>
      </c>
      <c r="L14" s="5">
        <f>IFERROR(IF(AND(ISNUMBER(V14),ISNUMBER(U14),U14&gt;0),V14/U14,""),"")</f>
        <v>0.016703362864609803</v>
      </c>
      <c r="M14" s="6">
        <f>IFERROR(IF(AND(ISNUMBER(K14),ISNUMBER(L14)),(K14-L14)*100,""),"")</f>
        <v>-0.8280842009482526</v>
      </c>
      <c r="N14" s="5">
        <f>IFERROR(IF(AND(ISNUMBER(H14),ISNUMBER(F14),F14&gt;0),H14/F14,""),"")</f>
        <v>0.23885350318471338</v>
      </c>
      <c r="O14" s="5">
        <f>IFERROR(IF(AND(ISNUMBER(I14),ISNUMBER(F14),F14&gt;0),I14/F14,""),"")</f>
        <v>0.020700636942675158</v>
      </c>
      <c r="P14" s="5">
        <f>IFERROR(IF(AND(ISNUMBER(W14),ISNUMBER(V14),V14&gt;0),W14/V14,""),"")</f>
        <v>0.06239588977863408</v>
      </c>
      <c r="Q14" s="6">
        <f>IFERROR(IF(AND(ISNUMBER(O14),ISNUMBER(P14)),(O14-P14)*100,""),"")</f>
        <v>-4.169525283595892</v>
      </c>
      <c r="R14" s="4" t="inlineStr">
        <is>
          <t>B0DGCVK1JL</t>
        </is>
      </c>
      <c r="S14" s="3" t="n">
        <v>628</v>
      </c>
      <c r="T14" s="5">
        <f>IFERROR(S14/F14,"")</f>
        <v>1.0</v>
      </c>
      <c r="U14" s="3" t="n">
        <v>2983052</v>
      </c>
      <c r="V14" s="3" t="n">
        <v>49827</v>
      </c>
      <c r="W14" s="3" t="n">
        <v>3109</v>
      </c>
      <c r="X14" s="6">
        <f>IFERROR(IF(ISNUMBER(P14),F14*P14,""),"")</f>
        <v>39.1846187809822</v>
      </c>
      <c r="Y14" s="2" t="inlineStr">
        <is>
          <t>CTR及购买比均低于市场（描述）</t>
        </is>
      </c>
      <c r="Z14" s="2" t="inlineStr">
        <is>
          <t>先查词意图与主力ASIN，再核查商品和展示条件</t>
        </is>
      </c>
      <c r="AA14" s="3" t="n">
        <v>333</v>
      </c>
      <c r="AB14" s="3" t="n">
        <v>9</v>
      </c>
    </row>
    <row r="15">
      <c r="A15" s="3" t="n">
        <v>14</v>
      </c>
      <c r="B15" s="4" t="inlineStr">
        <is>
          <t>glass water pitcher</t>
        </is>
      </c>
      <c r="C15" s="3" t="n">
        <v>26121</v>
      </c>
      <c r="D15" s="3" t="n">
        <v>2</v>
      </c>
      <c r="E15" s="3" t="n">
        <v>31638</v>
      </c>
      <c r="F15" s="3" t="n">
        <v>598</v>
      </c>
      <c r="G15" s="5">
        <f>F15/47159</f>
        <v>0.012680506372060476</v>
      </c>
      <c r="H15" s="3" t="n">
        <v>155</v>
      </c>
      <c r="I15" s="3" t="n">
        <v>57</v>
      </c>
      <c r="J15" s="5">
        <f>I15/3778</f>
        <v>0.015087347803070408</v>
      </c>
      <c r="K15" s="5">
        <f>IFERROR(IF(AND(ISNUMBER(F15),ISNUMBER(E15),E15&gt;0),F15/E15,""),"")</f>
        <v>0.01890132119603009</v>
      </c>
      <c r="L15" s="5">
        <f>IFERROR(IF(AND(ISNUMBER(V15),ISNUMBER(U15),U15&gt;0),V15/U15,""),"")</f>
        <v>0.015015319410037153</v>
      </c>
      <c r="M15" s="6">
        <f>IFERROR(IF(AND(ISNUMBER(K15),ISNUMBER(L15)),(K15-L15)*100,""),"")</f>
        <v>0.38860017859929374</v>
      </c>
      <c r="N15" s="5">
        <f>IFERROR(IF(AND(ISNUMBER(H15),ISNUMBER(F15),F15&gt;0),H15/F15,""),"")</f>
        <v>0.2591973244147157</v>
      </c>
      <c r="O15" s="5">
        <f>IFERROR(IF(AND(ISNUMBER(I15),ISNUMBER(F15),F15&gt;0),I15/F15,""),"")</f>
        <v>0.09531772575250837</v>
      </c>
      <c r="P15" s="5">
        <f>IFERROR(IF(AND(ISNUMBER(W15),ISNUMBER(V15),V15&gt;0),W15/V15,""),"")</f>
        <v>0.1063006300630063</v>
      </c>
      <c r="Q15" s="6">
        <f>IFERROR(IF(AND(ISNUMBER(O15),ISNUMBER(P15)),(O15-P15)*100,""),"")</f>
        <v>-1.0982904310497934</v>
      </c>
      <c r="R15" s="4" t="inlineStr">
        <is>
          <t>B0DGCVK1JL</t>
        </is>
      </c>
      <c r="S15" s="3" t="n">
        <v>594</v>
      </c>
      <c r="T15" s="5">
        <f>IFERROR(S15/F15,"")</f>
        <v>0.9933110367892977</v>
      </c>
      <c r="U15" s="3" t="n">
        <v>739911</v>
      </c>
      <c r="V15" s="3" t="n">
        <v>11110</v>
      </c>
      <c r="W15" s="3" t="n">
        <v>1181</v>
      </c>
      <c r="X15" s="6">
        <f>IFERROR(IF(ISNUMBER(P15),F15*P15,""),"")</f>
        <v>63.56777677767777</v>
      </c>
      <c r="Y15" s="2" t="inlineStr">
        <is>
          <t>CTR不低，购买比低于市场（描述）</t>
        </is>
      </c>
      <c r="Z15" s="2" t="inlineStr">
        <is>
          <t>查主力ASIN规格、功能、价格、库存及页面；原因待验证</t>
        </is>
      </c>
      <c r="AA15" s="3" t="n">
        <v>297</v>
      </c>
      <c r="AB15" s="3" t="n">
        <v>23</v>
      </c>
    </row>
    <row r="16">
      <c r="A16" s="3" t="n">
        <v>15</v>
      </c>
      <c r="B16" s="4" t="inlineStr">
        <is>
          <t>mason jar</t>
        </is>
      </c>
      <c r="C16" s="3" t="n">
        <v>79779</v>
      </c>
      <c r="D16" s="3" t="n">
        <v>9</v>
      </c>
      <c r="E16" s="3" t="n">
        <v>85385</v>
      </c>
      <c r="F16" s="3" t="n">
        <v>550</v>
      </c>
      <c r="G16" s="5">
        <f>F16/47159</f>
        <v>0.011662673084671006</v>
      </c>
      <c r="H16" s="3" t="n">
        <v>187</v>
      </c>
      <c r="I16" s="3" t="n">
        <v>31</v>
      </c>
      <c r="J16" s="5">
        <f>I16/3778</f>
        <v>0.008205399682371625</v>
      </c>
      <c r="K16" s="5">
        <f>IFERROR(IF(AND(ISNUMBER(F16),ISNUMBER(E16),E16&gt;0),F16/E16,""),"")</f>
        <v>0.006441412426070153</v>
      </c>
      <c r="L16" s="5">
        <f>IFERROR(IF(AND(ISNUMBER(V16),ISNUMBER(U16),U16&gt;0),V16/U16,""),"")</f>
        <v>0.012049453905605103</v>
      </c>
      <c r="M16" s="6">
        <f>IFERROR(IF(AND(ISNUMBER(K16),ISNUMBER(L16)),(K16-L16)*100,""),"")</f>
        <v>-0.560804147953495</v>
      </c>
      <c r="N16" s="5">
        <f>IFERROR(IF(AND(ISNUMBER(H16),ISNUMBER(F16),F16&gt;0),H16/F16,""),"")</f>
        <v>0.34</v>
      </c>
      <c r="O16" s="5">
        <f>IFERROR(IF(AND(ISNUMBER(I16),ISNUMBER(F16),F16&gt;0),I16/F16,""),"")</f>
        <v>0.056363636363636366</v>
      </c>
      <c r="P16" s="5">
        <f>IFERROR(IF(AND(ISNUMBER(W16),ISNUMBER(V16),V16&gt;0),W16/V16,""),"")</f>
        <v>0.15189502235906457</v>
      </c>
      <c r="Q16" s="6">
        <f>IFERROR(IF(AND(ISNUMBER(O16),ISNUMBER(P16)),(O16-P16)*100,""),"")</f>
        <v>-9.553138599542821</v>
      </c>
      <c r="R16" s="4" t="inlineStr">
        <is>
          <t>B0DGCVK1JL</t>
        </is>
      </c>
      <c r="S16" s="3" t="n">
        <v>511</v>
      </c>
      <c r="T16" s="5">
        <f>IFERROR(S16/F16,"")</f>
        <v>0.9290909090909091</v>
      </c>
      <c r="U16" s="3" t="n">
        <v>2264169</v>
      </c>
      <c r="V16" s="3" t="n">
        <v>27282</v>
      </c>
      <c r="W16" s="3" t="n">
        <v>4144</v>
      </c>
      <c r="X16" s="6">
        <f>IFERROR(IF(ISNUMBER(P16),F16*P16,""),"")</f>
        <v>83.54226229748552</v>
      </c>
      <c r="Y16" s="2" t="inlineStr">
        <is>
          <t>CTR及购买比均低于市场（描述）</t>
        </is>
      </c>
      <c r="Z16" s="2" t="inlineStr">
        <is>
          <t>先查词意图与主力ASIN，再核查商品和展示条件</t>
        </is>
      </c>
      <c r="AA16" s="3" t="n">
        <v>323</v>
      </c>
      <c r="AB16" s="3" t="n">
        <v>7</v>
      </c>
    </row>
    <row r="17">
      <c r="A17" s="3" t="n">
        <v>16</v>
      </c>
      <c r="B17" s="4" t="inlineStr">
        <is>
          <t>iced tea pitcher</t>
        </is>
      </c>
      <c r="C17" s="3" t="n">
        <v>7784</v>
      </c>
      <c r="D17" s="3" t="n">
        <v>10</v>
      </c>
      <c r="E17" s="3" t="n">
        <v>19115</v>
      </c>
      <c r="F17" s="3" t="n">
        <v>521</v>
      </c>
      <c r="G17" s="5">
        <f>F17/47159</f>
        <v>0.011047732140206535</v>
      </c>
      <c r="H17" s="3" t="n">
        <v>208</v>
      </c>
      <c r="I17" s="3" t="n">
        <v>104</v>
      </c>
      <c r="J17" s="5">
        <f>I17/3778</f>
        <v>0.02752779248279513</v>
      </c>
      <c r="K17" s="5">
        <f>IFERROR(IF(AND(ISNUMBER(F17),ISNUMBER(E17),E17&gt;0),F17/E17,""),"")</f>
        <v>0.027256081611300026</v>
      </c>
      <c r="L17" s="5">
        <f>IFERROR(IF(AND(ISNUMBER(V17),ISNUMBER(U17),U17&gt;0),V17/U17,""),"")</f>
        <v>0.01471080503273779</v>
      </c>
      <c r="M17" s="6">
        <f>IFERROR(IF(AND(ISNUMBER(K17),ISNUMBER(L17)),(K17-L17)*100,""),"")</f>
        <v>1.2545276578562237</v>
      </c>
      <c r="N17" s="5">
        <f>IFERROR(IF(AND(ISNUMBER(H17),ISNUMBER(F17),F17&gt;0),H17/F17,""),"")</f>
        <v>0.39923224568138194</v>
      </c>
      <c r="O17" s="5">
        <f>IFERROR(IF(AND(ISNUMBER(I17),ISNUMBER(F17),F17&gt;0),I17/F17,""),"")</f>
        <v>0.19961612284069097</v>
      </c>
      <c r="P17" s="5">
        <f>IFERROR(IF(AND(ISNUMBER(W17),ISNUMBER(V17),V17&gt;0),W17/V17,""),"")</f>
        <v>0.1617111650485437</v>
      </c>
      <c r="Q17" s="6">
        <f>IFERROR(IF(AND(ISNUMBER(O17),ISNUMBER(P17)),(O17-P17)*100,""),"")</f>
        <v>3.7904957792147282</v>
      </c>
      <c r="R17" s="4" t="inlineStr">
        <is>
          <t>B0DGCVK1JL</t>
        </is>
      </c>
      <c r="S17" s="3" t="n">
        <v>459</v>
      </c>
      <c r="T17" s="5">
        <f>IFERROR(S17/F17,"")</f>
        <v>0.8809980806142035</v>
      </c>
      <c r="U17" s="3" t="n">
        <v>224053</v>
      </c>
      <c r="V17" s="3" t="n">
        <v>3296</v>
      </c>
      <c r="W17" s="3" t="n">
        <v>533</v>
      </c>
      <c r="X17" s="6">
        <f>IFERROR(IF(ISNUMBER(P17),F17*P17,""),"")</f>
        <v>84.25151699029126</v>
      </c>
      <c r="Y17" s="2" t="inlineStr">
        <is>
          <t>CTR及购买比均不低于市场（描述）</t>
        </is>
      </c>
      <c r="Z17" s="2" t="inlineStr">
        <is>
          <t>确认相关性和表现稳定性；增长测试还需成本、利润与库存</t>
        </is>
      </c>
      <c r="AA17" s="3" t="n">
        <v>249</v>
      </c>
      <c r="AB17" s="3" t="n">
        <v>44</v>
      </c>
    </row>
    <row r="18">
      <c r="A18" s="3" t="n">
        <v>17</v>
      </c>
      <c r="B18" s="4" t="inlineStr">
        <is>
          <t>glass pitchers with handle and lid</t>
        </is>
      </c>
      <c r="C18" s="3" t="n">
        <v>13068</v>
      </c>
      <c r="D18" s="3" t="n">
        <v>10</v>
      </c>
      <c r="E18" s="3" t="n">
        <v>25656</v>
      </c>
      <c r="F18" s="3" t="n">
        <v>520</v>
      </c>
      <c r="G18" s="5">
        <f>F18/47159</f>
        <v>0.011026527280052588</v>
      </c>
      <c r="H18" s="3" t="n">
        <v>162</v>
      </c>
      <c r="I18" s="3" t="n">
        <v>55</v>
      </c>
      <c r="J18" s="5">
        <f>I18/3778</f>
        <v>0.014557967178401271</v>
      </c>
      <c r="K18" s="5">
        <f>IFERROR(IF(AND(ISNUMBER(F18),ISNUMBER(E18),E18&gt;0),F18/E18,""),"")</f>
        <v>0.020268163392578736</v>
      </c>
      <c r="L18" s="5">
        <f>IFERROR(IF(AND(ISNUMBER(V18),ISNUMBER(U18),U18&gt;0),V18/U18,""),"")</f>
        <v>0.017854534329600547</v>
      </c>
      <c r="M18" s="6">
        <f>IFERROR(IF(AND(ISNUMBER(K18),ISNUMBER(L18)),(K18-L18)*100,""),"")</f>
        <v>0.24136290629781892</v>
      </c>
      <c r="N18" s="5">
        <f>IFERROR(IF(AND(ISNUMBER(H18),ISNUMBER(F18),F18&gt;0),H18/F18,""),"")</f>
        <v>0.31153846153846154</v>
      </c>
      <c r="O18" s="5">
        <f>IFERROR(IF(AND(ISNUMBER(I18),ISNUMBER(F18),F18&gt;0),I18/F18,""),"")</f>
        <v>0.10576923076923077</v>
      </c>
      <c r="P18" s="5">
        <f>IFERROR(IF(AND(ISNUMBER(W18),ISNUMBER(V18),V18&gt;0),W18/V18,""),"")</f>
        <v>0.12056190182154986</v>
      </c>
      <c r="Q18" s="6">
        <f>IFERROR(IF(AND(ISNUMBER(O18),ISNUMBER(P18)),(O18-P18)*100,""),"")</f>
        <v>-1.4792671052319086</v>
      </c>
      <c r="R18" s="4" t="inlineStr">
        <is>
          <t>B0DGCVK1JL</t>
        </is>
      </c>
      <c r="S18" s="3" t="n">
        <v>440</v>
      </c>
      <c r="T18" s="5">
        <f>IFERROR(S18/F18,"")</f>
        <v>0.8461538461538461</v>
      </c>
      <c r="U18" s="3" t="n">
        <v>362821</v>
      </c>
      <c r="V18" s="3" t="n">
        <v>6478</v>
      </c>
      <c r="W18" s="3" t="n">
        <v>781</v>
      </c>
      <c r="X18" s="6">
        <f>IFERROR(IF(ISNUMBER(P18),F18*P18,""),"")</f>
        <v>62.69218894720593</v>
      </c>
      <c r="Y18" s="2" t="inlineStr">
        <is>
          <t>CTR不低，购买比低于市场（描述）</t>
        </is>
      </c>
      <c r="Z18" s="2" t="inlineStr">
        <is>
          <t>查主力ASIN规格、功能、价格、库存及页面；原因待验证</t>
        </is>
      </c>
      <c r="AA18" s="3" t="n">
        <v>257</v>
      </c>
      <c r="AB18" s="3" t="n">
        <v>31</v>
      </c>
    </row>
    <row r="19">
      <c r="A19" s="3" t="n">
        <v>18</v>
      </c>
      <c r="B19" s="4" t="inlineStr">
        <is>
          <t>64 oz mason jar</t>
        </is>
      </c>
      <c r="C19" s="3" t="n">
        <v>12465</v>
      </c>
      <c r="D19" s="3" t="n">
        <v>7</v>
      </c>
      <c r="E19" s="3" t="n">
        <v>19562</v>
      </c>
      <c r="F19" s="3" t="n">
        <v>507</v>
      </c>
      <c r="G19" s="5">
        <f>F19/47159</f>
        <v>0.010750864098051273</v>
      </c>
      <c r="H19" s="3" t="n">
        <v>197</v>
      </c>
      <c r="I19" s="3" t="n">
        <v>52</v>
      </c>
      <c r="J19" s="5">
        <f>I19/3778</f>
        <v>0.013763896241397565</v>
      </c>
      <c r="K19" s="5">
        <f>IFERROR(IF(AND(ISNUMBER(F19),ISNUMBER(E19),E19&gt;0),F19/E19,""),"")</f>
        <v>0.02591759533790001</v>
      </c>
      <c r="L19" s="5">
        <f>IFERROR(IF(AND(ISNUMBER(V19),ISNUMBER(U19),U19&gt;0),V19/U19,""),"")</f>
        <v>0.01883650324537383</v>
      </c>
      <c r="M19" s="6">
        <f>IFERROR(IF(AND(ISNUMBER(K19),ISNUMBER(L19)),(K19-L19)*100,""),"")</f>
        <v>0.7081092092526182</v>
      </c>
      <c r="N19" s="5">
        <f>IFERROR(IF(AND(ISNUMBER(H19),ISNUMBER(F19),F19&gt;0),H19/F19,""),"")</f>
        <v>0.388560157790927</v>
      </c>
      <c r="O19" s="5">
        <f>IFERROR(IF(AND(ISNUMBER(I19),ISNUMBER(F19),F19&gt;0),I19/F19,""),"")</f>
        <v>0.10256410256410256</v>
      </c>
      <c r="P19" s="5">
        <f>IFERROR(IF(AND(ISNUMBER(W19),ISNUMBER(V19),V19&gt;0),W19/V19,""),"")</f>
        <v>0.15969706947645704</v>
      </c>
      <c r="Q19" s="6">
        <f>IFERROR(IF(AND(ISNUMBER(O19),ISNUMBER(P19)),(O19-P19)*100,""),"")</f>
        <v>-5.713296691235447</v>
      </c>
      <c r="R19" s="4" t="inlineStr">
        <is>
          <t>B0DGCVK1JL</t>
        </is>
      </c>
      <c r="S19" s="3" t="n">
        <v>477</v>
      </c>
      <c r="T19" s="5">
        <f>IFERROR(S19/F19,"")</f>
        <v>0.9408284023668639</v>
      </c>
      <c r="U19" s="3" t="n">
        <v>322459</v>
      </c>
      <c r="V19" s="3" t="n">
        <v>6074</v>
      </c>
      <c r="W19" s="3" t="n">
        <v>970</v>
      </c>
      <c r="X19" s="6">
        <f>IFERROR(IF(ISNUMBER(P19),F19*P19,""),"")</f>
        <v>80.96641422456372</v>
      </c>
      <c r="Y19" s="2" t="inlineStr">
        <is>
          <t>CTR不低，购买比低于市场（描述）</t>
        </is>
      </c>
      <c r="Z19" s="2" t="inlineStr">
        <is>
          <t>查主力ASIN规格、功能、价格、库存及页面；原因待验证</t>
        </is>
      </c>
      <c r="AA19" s="3" t="n">
        <v>283</v>
      </c>
      <c r="AB19" s="3" t="n">
        <v>43</v>
      </c>
    </row>
    <row r="20">
      <c r="A20" s="3" t="n">
        <v>19</v>
      </c>
      <c r="B20" s="4" t="inlineStr">
        <is>
          <t>camping essentials</t>
        </is>
      </c>
      <c r="C20" s="3" t="n">
        <v>883911</v>
      </c>
      <c r="D20" s="3" t="n">
        <v>1</v>
      </c>
      <c r="E20" s="3" t="n">
        <v>35745</v>
      </c>
      <c r="F20" s="3" t="n">
        <v>427</v>
      </c>
      <c r="G20" s="5">
        <f>F20/47159</f>
        <v>0.00905447528573549</v>
      </c>
      <c r="H20" s="3" t="n">
        <v>178</v>
      </c>
      <c r="I20" s="3" t="n">
        <v>8</v>
      </c>
      <c r="J20" s="5">
        <f>I20/3778</f>
        <v>0.0021175224986765486</v>
      </c>
      <c r="K20" s="5">
        <f>IFERROR(IF(AND(ISNUMBER(F20),ISNUMBER(E20),E20&gt;0),F20/E20,""),"")</f>
        <v>0.01194572667505945</v>
      </c>
      <c r="L20" s="5">
        <f>IFERROR(IF(AND(ISNUMBER(V20),ISNUMBER(U20),U20&gt;0),V20/U20,""),"")</f>
        <v>0.014501873120513363</v>
      </c>
      <c r="M20" s="6">
        <f>IFERROR(IF(AND(ISNUMBER(K20),ISNUMBER(L20)),(K20-L20)*100,""),"")</f>
        <v>-0.2556146445453914</v>
      </c>
      <c r="N20" s="5">
        <f>IFERROR(IF(AND(ISNUMBER(H20),ISNUMBER(F20),F20&gt;0),H20/F20,""),"")</f>
        <v>0.4168618266978923</v>
      </c>
      <c r="O20" s="5">
        <f>IFERROR(IF(AND(ISNUMBER(I20),ISNUMBER(F20),F20&gt;0),I20/F20,""),"")</f>
        <v>0.01873536299765808</v>
      </c>
      <c r="P20" s="5">
        <f>IFERROR(IF(AND(ISNUMBER(W20),ISNUMBER(V20),V20&gt;0),W20/V20,""),"")</f>
        <v>0.058336572983603556</v>
      </c>
      <c r="Q20" s="6">
        <f>IFERROR(IF(AND(ISNUMBER(O20),ISNUMBER(P20)),(O20-P20)*100,""),"")</f>
        <v>-3.960120998594548</v>
      </c>
      <c r="R20" s="4" t="inlineStr">
        <is>
          <t>B0DGCVK1JL</t>
        </is>
      </c>
      <c r="S20" s="3" t="n">
        <v>427</v>
      </c>
      <c r="T20" s="5">
        <f>IFERROR(S20/F20,"")</f>
        <v>1.0</v>
      </c>
      <c r="U20" s="3" t="n">
        <v>21107825</v>
      </c>
      <c r="V20" s="3" t="n">
        <v>306103</v>
      </c>
      <c r="W20" s="3" t="n">
        <v>17857</v>
      </c>
      <c r="X20" s="6">
        <f>IFERROR(IF(ISNUMBER(P20),F20*P20,""),"")</f>
        <v>24.90971666399872</v>
      </c>
      <c r="Y20" s="2" t="inlineStr">
        <is>
          <t>CTR及购买比均低于市场（描述）</t>
        </is>
      </c>
      <c r="Z20" s="2" t="inlineStr">
        <is>
          <t>先查词意图与主力ASIN，再核查商品和展示条件</t>
        </is>
      </c>
      <c r="AA20" s="3" t="n">
        <v>341</v>
      </c>
      <c r="AB20" s="3" t="n">
        <v>19</v>
      </c>
    </row>
    <row r="21">
      <c r="A21" s="3" t="n">
        <v>20</v>
      </c>
      <c r="B21" s="4" t="inlineStr">
        <is>
          <t>cold brew coffee maker</t>
        </is>
      </c>
      <c r="C21" s="3" t="n">
        <v>103950</v>
      </c>
      <c r="D21" s="3" t="n">
        <v>4</v>
      </c>
      <c r="E21" s="3" t="n">
        <v>30569</v>
      </c>
      <c r="F21" s="3" t="n">
        <v>419</v>
      </c>
      <c r="G21" s="5">
        <f>F21/47159</f>
        <v>0.008884836404503913</v>
      </c>
      <c r="H21" s="3" t="n">
        <v>134</v>
      </c>
      <c r="I21" s="3" t="n">
        <v>35</v>
      </c>
      <c r="J21" s="5">
        <f>I21/3778</f>
        <v>0.009264160931709899</v>
      </c>
      <c r="K21" s="5">
        <f>IFERROR(IF(AND(ISNUMBER(F21),ISNUMBER(E21),E21&gt;0),F21/E21,""),"")</f>
        <v>0.013706696326343682</v>
      </c>
      <c r="L21" s="5">
        <f>IFERROR(IF(AND(ISNUMBER(V21),ISNUMBER(U21),U21&gt;0),V21/U21,""),"")</f>
        <v>0.019380199566904524</v>
      </c>
      <c r="M21" s="6">
        <f>IFERROR(IF(AND(ISNUMBER(K21),ISNUMBER(L21)),(K21-L21)*100,""),"")</f>
        <v>-0.5673503240560842</v>
      </c>
      <c r="N21" s="5">
        <f>IFERROR(IF(AND(ISNUMBER(H21),ISNUMBER(F21),F21&gt;0),H21/F21,""),"")</f>
        <v>0.3198090692124105</v>
      </c>
      <c r="O21" s="5">
        <f>IFERROR(IF(AND(ISNUMBER(I21),ISNUMBER(F21),F21&gt;0),I21/F21,""),"")</f>
        <v>0.08353221957040573</v>
      </c>
      <c r="P21" s="5">
        <f>IFERROR(IF(AND(ISNUMBER(W21),ISNUMBER(V21),V21&gt;0),W21/V21,""),"")</f>
        <v>0.10689736904479734</v>
      </c>
      <c r="Q21" s="6">
        <f>IFERROR(IF(AND(ISNUMBER(O21),ISNUMBER(P21)),(O21-P21)*100,""),"")</f>
        <v>-2.336514947439161</v>
      </c>
      <c r="R21" s="4" t="inlineStr">
        <is>
          <t>B0F42HC931</t>
        </is>
      </c>
      <c r="S21" s="3" t="n">
        <v>230</v>
      </c>
      <c r="T21" s="5">
        <f>IFERROR(S21/F21,"")</f>
        <v>0.548926014319809</v>
      </c>
      <c r="U21" s="3" t="n">
        <v>2612357</v>
      </c>
      <c r="V21" s="3" t="n">
        <v>50628</v>
      </c>
      <c r="W21" s="3" t="n">
        <v>5412</v>
      </c>
      <c r="X21" s="6">
        <f>IFERROR(IF(ISNUMBER(P21),F21*P21,""),"")</f>
        <v>44.789997629770085</v>
      </c>
      <c r="Y21" s="2" t="inlineStr">
        <is>
          <t>CTR及购买比均低于市场（描述）</t>
        </is>
      </c>
      <c r="Z21" s="2" t="inlineStr">
        <is>
          <t>先查词意图与主力ASIN，再核查商品和展示条件</t>
        </is>
      </c>
      <c r="AA21" s="3" t="n">
        <v>1046</v>
      </c>
      <c r="AB21" s="3" t="n">
        <v>26</v>
      </c>
    </row>
    <row r="22">
      <c r="A22" s="3" t="n">
        <v>21</v>
      </c>
      <c r="B22" s="4" t="inlineStr">
        <is>
          <t>kitchen essentials</t>
        </is>
      </c>
      <c r="C22" s="3" t="n">
        <v>303941</v>
      </c>
      <c r="D22" s="3" t="n">
        <v>2</v>
      </c>
      <c r="E22" s="3" t="n">
        <v>20304</v>
      </c>
      <c r="F22" s="3" t="n">
        <v>405</v>
      </c>
      <c r="G22" s="5">
        <f>F22/47159</f>
        <v>0.00858796836234865</v>
      </c>
      <c r="H22" s="3" t="n">
        <v>188</v>
      </c>
      <c r="I22" s="3" t="n">
        <v>7</v>
      </c>
      <c r="J22" s="5">
        <f>I22/3778</f>
        <v>0.0018528321863419798</v>
      </c>
      <c r="K22" s="5">
        <f>IFERROR(IF(AND(ISNUMBER(F22),ISNUMBER(E22),E22&gt;0),F22/E22,""),"")</f>
        <v>0.0199468085106383</v>
      </c>
      <c r="L22" s="5">
        <f>IFERROR(IF(AND(ISNUMBER(V22),ISNUMBER(U22),U22&gt;0),V22/U22,""),"")</f>
        <v>0.012261227775772295</v>
      </c>
      <c r="M22" s="6">
        <f>IFERROR(IF(AND(ISNUMBER(K22),ISNUMBER(L22)),(K22-L22)*100,""),"")</f>
        <v>0.7685580734866004</v>
      </c>
      <c r="N22" s="5">
        <f>IFERROR(IF(AND(ISNUMBER(H22),ISNUMBER(F22),F22&gt;0),H22/F22,""),"")</f>
        <v>0.4641975308641975</v>
      </c>
      <c r="O22" s="5">
        <f>IFERROR(IF(AND(ISNUMBER(I22),ISNUMBER(F22),F22&gt;0),I22/F22,""),"")</f>
        <v>0.01728395061728395</v>
      </c>
      <c r="P22" s="5">
        <f>IFERROR(IF(AND(ISNUMBER(W22),ISNUMBER(V22),V22&gt;0),W22/V22,""),"")</f>
        <v>0.019839084313115107</v>
      </c>
      <c r="Q22" s="6">
        <f>IFERROR(IF(AND(ISNUMBER(O22),ISNUMBER(P22)),(O22-P22)*100,""),"")</f>
        <v>-0.25551336958311577</v>
      </c>
      <c r="R22" s="4" t="inlineStr">
        <is>
          <t>B0DGCVK1JL</t>
        </is>
      </c>
      <c r="S22" s="3" t="n">
        <v>403</v>
      </c>
      <c r="T22" s="5">
        <f>IFERROR(S22/F22,"")</f>
        <v>0.9950617283950617</v>
      </c>
      <c r="U22" s="3" t="n">
        <v>6811879</v>
      </c>
      <c r="V22" s="3" t="n">
        <v>83522</v>
      </c>
      <c r="W22" s="3" t="n">
        <v>1657</v>
      </c>
      <c r="X22" s="6">
        <f>IFERROR(IF(ISNUMBER(P22),F22*P22,""),"")</f>
        <v>8.034829146811617</v>
      </c>
      <c r="Y22" s="2" t="inlineStr">
        <is>
          <t>购买基准计数少，先观察</t>
        </is>
      </c>
      <c r="Z22" s="2" t="inlineStr">
        <is>
          <t>核查词意图和主力ASIN；不凭比率判断购买优劣</t>
        </is>
      </c>
      <c r="AA22" s="3" t="n">
        <v>266</v>
      </c>
      <c r="AB22" s="3" t="n">
        <v>41</v>
      </c>
    </row>
    <row r="23">
      <c r="A23" s="3" t="n">
        <v>22</v>
      </c>
      <c r="B23" s="4" t="inlineStr">
        <is>
          <t>sun tea glass jar for outside</t>
        </is>
      </c>
      <c r="C23" s="3" t="n">
        <v>5939</v>
      </c>
      <c r="D23" s="3" t="n">
        <v>9</v>
      </c>
      <c r="E23" s="3" t="n">
        <v>17117</v>
      </c>
      <c r="F23" s="3" t="n">
        <v>373</v>
      </c>
      <c r="G23" s="5">
        <f>F23/47159</f>
        <v>0.007909412837422337</v>
      </c>
      <c r="H23" s="3" t="n">
        <v>149</v>
      </c>
      <c r="I23" s="3" t="n">
        <v>65</v>
      </c>
      <c r="J23" s="5">
        <f>I23/3778</f>
        <v>0.017204870301746954</v>
      </c>
      <c r="K23" s="5">
        <f>IFERROR(IF(AND(ISNUMBER(F23),ISNUMBER(E23),E23&gt;0),F23/E23,""),"")</f>
        <v>0.02179120172927499</v>
      </c>
      <c r="L23" s="5">
        <f>IFERROR(IF(AND(ISNUMBER(V23),ISNUMBER(U23),U23&gt;0),V23/U23,""),"")</f>
        <v>0.014794119276048174</v>
      </c>
      <c r="M23" s="6">
        <f>IFERROR(IF(AND(ISNUMBER(K23),ISNUMBER(L23)),(K23-L23)*100,""),"")</f>
        <v>0.6997082453226817</v>
      </c>
      <c r="N23" s="5">
        <f>IFERROR(IF(AND(ISNUMBER(H23),ISNUMBER(F23),F23&gt;0),H23/F23,""),"")</f>
        <v>0.39946380697050937</v>
      </c>
      <c r="O23" s="5">
        <f>IFERROR(IF(AND(ISNUMBER(I23),ISNUMBER(F23),F23&gt;0),I23/F23,""),"")</f>
        <v>0.1742627345844504</v>
      </c>
      <c r="P23" s="5">
        <f>IFERROR(IF(AND(ISNUMBER(W23),ISNUMBER(V23),V23&gt;0),W23/V23,""),"")</f>
        <v>0.1526622296173045</v>
      </c>
      <c r="Q23" s="6">
        <f>IFERROR(IF(AND(ISNUMBER(O23),ISNUMBER(P23)),(O23-P23)*100,""),"")</f>
        <v>2.1600504967145913</v>
      </c>
      <c r="R23" s="4" t="inlineStr">
        <is>
          <t>B0DGCVK1JL</t>
        </is>
      </c>
      <c r="S23" s="3" t="n">
        <v>320</v>
      </c>
      <c r="T23" s="5">
        <f>IFERROR(S23/F23,"")</f>
        <v>0.8579088471849866</v>
      </c>
      <c r="U23" s="3" t="n">
        <v>162497</v>
      </c>
      <c r="V23" s="3" t="n">
        <v>2404</v>
      </c>
      <c r="W23" s="3" t="n">
        <v>367</v>
      </c>
      <c r="X23" s="6">
        <f>IFERROR(IF(ISNUMBER(P23),F23*P23,""),"")</f>
        <v>56.94301164725458</v>
      </c>
      <c r="Y23" s="2" t="inlineStr">
        <is>
          <t>CTR及购买比均不低于市场（描述）</t>
        </is>
      </c>
      <c r="Z23" s="2" t="inlineStr">
        <is>
          <t>确认相关性和表现稳定性；增长测试还需成本、利润与库存</t>
        </is>
      </c>
      <c r="AA23" s="3" t="n">
        <v>252</v>
      </c>
      <c r="AB23" s="3" t="n">
        <v>52</v>
      </c>
    </row>
    <row r="24">
      <c r="A24" s="3" t="n">
        <v>23</v>
      </c>
      <c r="B24" s="4" t="inlineStr">
        <is>
          <t>glass bottles with lids</t>
        </is>
      </c>
      <c r="C24" s="3" t="n">
        <v>53206</v>
      </c>
      <c r="D24" s="3" t="n">
        <v>3</v>
      </c>
      <c r="E24" s="3" t="n">
        <v>35913</v>
      </c>
      <c r="F24" s="3" t="n">
        <v>362</v>
      </c>
      <c r="G24" s="5">
        <f>F24/47159</f>
        <v>0.007676159375728917</v>
      </c>
      <c r="H24" s="3" t="n">
        <v>118</v>
      </c>
      <c r="I24" s="3" t="n">
        <v>13</v>
      </c>
      <c r="J24" s="5">
        <f>I24/3778</f>
        <v>0.003440974060349391</v>
      </c>
      <c r="K24" s="5">
        <f>IFERROR(IF(AND(ISNUMBER(F24),ISNUMBER(E24),E24&gt;0),F24/E24,""),"")</f>
        <v>0.010079915350987107</v>
      </c>
      <c r="L24" s="5">
        <f>IFERROR(IF(AND(ISNUMBER(V24),ISNUMBER(U24),U24&gt;0),V24/U24,""),"")</f>
        <v>0.014948273604260334</v>
      </c>
      <c r="M24" s="6">
        <f>IFERROR(IF(AND(ISNUMBER(K24),ISNUMBER(L24)),(K24-L24)*100,""),"")</f>
        <v>-0.48683582532732267</v>
      </c>
      <c r="N24" s="5">
        <f>IFERROR(IF(AND(ISNUMBER(H24),ISNUMBER(F24),F24&gt;0),H24/F24,""),"")</f>
        <v>0.3259668508287293</v>
      </c>
      <c r="O24" s="5">
        <f>IFERROR(IF(AND(ISNUMBER(I24),ISNUMBER(F24),F24&gt;0),I24/F24,""),"")</f>
        <v>0.03591160220994475</v>
      </c>
      <c r="P24" s="5">
        <f>IFERROR(IF(AND(ISNUMBER(W24),ISNUMBER(V24),V24&gt;0),W24/V24,""),"")</f>
        <v>0.08804204993429698</v>
      </c>
      <c r="Q24" s="6">
        <f>IFERROR(IF(AND(ISNUMBER(O24),ISNUMBER(P24)),(O24-P24)*100,""),"")</f>
        <v>-5.213044772435223</v>
      </c>
      <c r="R24" s="4" t="inlineStr">
        <is>
          <t>B0DGCVK1JL</t>
        </is>
      </c>
      <c r="S24" s="3" t="n">
        <v>344</v>
      </c>
      <c r="T24" s="5">
        <f>IFERROR(S24/F24,"")</f>
        <v>0.9502762430939227</v>
      </c>
      <c r="U24" s="3" t="n">
        <v>1374540</v>
      </c>
      <c r="V24" s="3" t="n">
        <v>20547</v>
      </c>
      <c r="W24" s="3" t="n">
        <v>1809</v>
      </c>
      <c r="X24" s="6">
        <f>IFERROR(IF(ISNUMBER(P24),F24*P24,""),"")</f>
        <v>31.87122207621551</v>
      </c>
      <c r="Y24" s="2" t="inlineStr">
        <is>
          <t>CTR及购买比均低于市场（描述）</t>
        </is>
      </c>
      <c r="Z24" s="2" t="inlineStr">
        <is>
          <t>先查词意图与主力ASIN，再核查商品和展示条件</t>
        </is>
      </c>
      <c r="AA24" s="3" t="n">
        <v>340</v>
      </c>
      <c r="AB24" s="3" t="n">
        <v>18</v>
      </c>
    </row>
    <row r="25">
      <c r="A25" s="3" t="n">
        <v>24</v>
      </c>
      <c r="B25" s="4" t="inlineStr">
        <is>
          <t>iced tea maker</t>
        </is>
      </c>
      <c r="C25" s="3" t="n">
        <v>16831</v>
      </c>
      <c r="D25" s="3" t="n">
        <v>6</v>
      </c>
      <c r="E25" s="3" t="n">
        <v>22493</v>
      </c>
      <c r="F25" s="3" t="n">
        <v>333</v>
      </c>
      <c r="G25" s="5">
        <f>F25/47159</f>
        <v>0.007061218431264446</v>
      </c>
      <c r="H25" s="3" t="n">
        <v>77</v>
      </c>
      <c r="I25" s="3" t="n">
        <v>19</v>
      </c>
      <c r="J25" s="5">
        <f>I25/3778</f>
        <v>0.005029115934356803</v>
      </c>
      <c r="K25" s="5">
        <f>IFERROR(IF(AND(ISNUMBER(F25),ISNUMBER(E25),E25&gt;0),F25/E25,""),"")</f>
        <v>0.014804605877384075</v>
      </c>
      <c r="L25" s="5">
        <f>IFERROR(IF(AND(ISNUMBER(V25),ISNUMBER(U25),U25&gt;0),V25/U25,""),"")</f>
        <v>0.015879449758065815</v>
      </c>
      <c r="M25" s="6">
        <f>IFERROR(IF(AND(ISNUMBER(K25),ISNUMBER(L25)),(K25-L25)*100,""),"")</f>
        <v>-0.10748438806817401</v>
      </c>
      <c r="N25" s="5">
        <f>IFERROR(IF(AND(ISNUMBER(H25),ISNUMBER(F25),F25&gt;0),H25/F25,""),"")</f>
        <v>0.23123123123123124</v>
      </c>
      <c r="O25" s="5">
        <f>IFERROR(IF(AND(ISNUMBER(I25),ISNUMBER(F25),F25&gt;0),I25/F25,""),"")</f>
        <v>0.057057057057057055</v>
      </c>
      <c r="P25" s="5">
        <f>IFERROR(IF(AND(ISNUMBER(W25),ISNUMBER(V25),V25&gt;0),W25/V25,""),"")</f>
        <v>0.0770123277737491</v>
      </c>
      <c r="Q25" s="6">
        <f>IFERROR(IF(AND(ISNUMBER(O25),ISNUMBER(P25)),(O25-P25)*100,""),"")</f>
        <v>-1.9955270716692044</v>
      </c>
      <c r="R25" s="4" t="inlineStr">
        <is>
          <t>B0DGCVK1JL</t>
        </is>
      </c>
      <c r="S25" s="3" t="n">
        <v>235</v>
      </c>
      <c r="T25" s="5">
        <f>IFERROR(S25/F25,"")</f>
        <v>0.7057057057057057</v>
      </c>
      <c r="U25" s="3" t="n">
        <v>434209</v>
      </c>
      <c r="V25" s="3" t="n">
        <v>6895</v>
      </c>
      <c r="W25" s="3" t="n">
        <v>531</v>
      </c>
      <c r="X25" s="6">
        <f>IFERROR(IF(ISNUMBER(P25),F25*P25,""),"")</f>
        <v>25.64510514865845</v>
      </c>
      <c r="Y25" s="2" t="inlineStr">
        <is>
          <t>CTR及购买比均低于市场（描述）</t>
        </is>
      </c>
      <c r="Z25" s="2" t="inlineStr">
        <is>
          <t>先查词意图与主力ASIN，再核查商品和展示条件</t>
        </is>
      </c>
      <c r="AA25" s="3" t="n">
        <v>295</v>
      </c>
      <c r="AB25" s="3" t="n">
        <v>38</v>
      </c>
    </row>
    <row r="26">
      <c r="A26" s="3" t="n">
        <v>25</v>
      </c>
      <c r="B26" s="4" t="inlineStr">
        <is>
          <t>home essentials</t>
        </is>
      </c>
      <c r="C26" s="3" t="n">
        <v>254377</v>
      </c>
      <c r="D26" s="3" t="n">
        <v>2</v>
      </c>
      <c r="E26" s="3" t="n">
        <v>15525</v>
      </c>
      <c r="F26" s="3" t="n">
        <v>317</v>
      </c>
      <c r="G26" s="5">
        <f>F26/47159</f>
        <v>0.0067219406688012896</v>
      </c>
      <c r="H26" s="3" t="n">
        <v>167</v>
      </c>
      <c r="I26" s="3" t="n">
        <v>2</v>
      </c>
      <c r="J26" s="5">
        <f>I26/3778</f>
        <v>0.0005293806246691371</v>
      </c>
      <c r="K26" s="5">
        <f>IFERROR(IF(AND(ISNUMBER(F26),ISNUMBER(E26),E26&gt;0),F26/E26,""),"")</f>
        <v>0.020418679549114332</v>
      </c>
      <c r="L26" s="5">
        <f>IFERROR(IF(AND(ISNUMBER(V26),ISNUMBER(U26),U26&gt;0),V26/U26,""),"")</f>
        <v>0.01206994594198831</v>
      </c>
      <c r="M26" s="6">
        <f>IFERROR(IF(AND(ISNUMBER(K26),ISNUMBER(L26)),(K26-L26)*100,""),"")</f>
        <v>0.8348733607126022</v>
      </c>
      <c r="N26" s="5">
        <f>IFERROR(IF(AND(ISNUMBER(H26),ISNUMBER(F26),F26&gt;0),H26/F26,""),"")</f>
        <v>0.526813880126183</v>
      </c>
      <c r="O26" s="5">
        <f>IFERROR(IF(AND(ISNUMBER(I26),ISNUMBER(F26),F26&gt;0),I26/F26,""),"")</f>
        <v>0.006309148264984227</v>
      </c>
      <c r="P26" s="5">
        <f>IFERROR(IF(AND(ISNUMBER(W26),ISNUMBER(V26),V26&gt;0),W26/V26,""),"")</f>
        <v>0.019599913728027607</v>
      </c>
      <c r="Q26" s="6">
        <f>IFERROR(IF(AND(ISNUMBER(O26),ISNUMBER(P26)),(O26-P26)*100,""),"")</f>
        <v>-1.3290765463043381</v>
      </c>
      <c r="R26" s="4" t="inlineStr">
        <is>
          <t>B0DGCVK1JL</t>
        </is>
      </c>
      <c r="S26" s="3" t="n">
        <v>316</v>
      </c>
      <c r="T26" s="5">
        <f>IFERROR(S26/F26,"")</f>
        <v>0.9968454258675079</v>
      </c>
      <c r="U26" s="3" t="n">
        <v>6146175</v>
      </c>
      <c r="V26" s="3" t="n">
        <v>74184</v>
      </c>
      <c r="W26" s="3" t="n">
        <v>1454</v>
      </c>
      <c r="X26" s="6">
        <f>IFERROR(IF(ISNUMBER(P26),F26*P26,""),"")</f>
        <v>6.213172651784752</v>
      </c>
      <c r="Y26" s="2" t="inlineStr">
        <is>
          <t>购买基准计数少，先观察</t>
        </is>
      </c>
      <c r="Z26" s="2" t="inlineStr">
        <is>
          <t>核查词意图和主力ASIN；不凭比率判断购买优劣</t>
        </is>
      </c>
      <c r="AA26" s="3" t="n">
        <v>128</v>
      </c>
      <c r="AB26" s="3" t="n">
        <v>56</v>
      </c>
    </row>
    <row r="27">
      <c r="A27" s="3" t="n">
        <v>26</v>
      </c>
      <c r="B27" s="4" t="inlineStr">
        <is>
          <t>canning supplies</t>
        </is>
      </c>
      <c r="C27" s="3" t="n">
        <v>120513</v>
      </c>
      <c r="D27" s="3" t="n">
        <v>1</v>
      </c>
      <c r="E27" s="3" t="n">
        <v>27344</v>
      </c>
      <c r="F27" s="3" t="n">
        <v>313</v>
      </c>
      <c r="G27" s="5">
        <f>F27/47159</f>
        <v>0.0066371212281855</v>
      </c>
      <c r="H27" s="3" t="n">
        <v>159</v>
      </c>
      <c r="I27" s="3" t="n">
        <v>21</v>
      </c>
      <c r="J27" s="5">
        <f>I27/3778</f>
        <v>0.00555849655902594</v>
      </c>
      <c r="K27" s="5">
        <f>IFERROR(IF(AND(ISNUMBER(F27),ISNUMBER(E27),E27&gt;0),F27/E27,""),"")</f>
        <v>0.011446752486834405</v>
      </c>
      <c r="L27" s="5">
        <f>IFERROR(IF(AND(ISNUMBER(V27),ISNUMBER(U27),U27&gt;0),V27/U27,""),"")</f>
        <v>0.016264702407792254</v>
      </c>
      <c r="M27" s="6">
        <f>IFERROR(IF(AND(ISNUMBER(K27),ISNUMBER(L27)),(K27-L27)*100,""),"")</f>
        <v>-0.48179499209578486</v>
      </c>
      <c r="N27" s="5">
        <f>IFERROR(IF(AND(ISNUMBER(H27),ISNUMBER(F27),F27&gt;0),H27/F27,""),"")</f>
        <v>0.5079872204472844</v>
      </c>
      <c r="O27" s="5">
        <f>IFERROR(IF(AND(ISNUMBER(I27),ISNUMBER(F27),F27&gt;0),I27/F27,""),"")</f>
        <v>0.0670926517571885</v>
      </c>
      <c r="P27" s="5">
        <f>IFERROR(IF(AND(ISNUMBER(W27),ISNUMBER(V27),V27&gt;0),W27/V27,""),"")</f>
        <v>0.07772730992716262</v>
      </c>
      <c r="Q27" s="6">
        <f>IFERROR(IF(AND(ISNUMBER(O27),ISNUMBER(P27)),(O27-P27)*100,""),"")</f>
        <v>-1.0634658169974123</v>
      </c>
      <c r="R27" s="4" t="inlineStr">
        <is>
          <t>B0DGCVK1JL</t>
        </is>
      </c>
      <c r="S27" s="3" t="n">
        <v>313</v>
      </c>
      <c r="T27" s="5">
        <f>IFERROR(S27/F27,"")</f>
        <v>1.0</v>
      </c>
      <c r="U27" s="3" t="n">
        <v>3005035</v>
      </c>
      <c r="V27" s="3" t="n">
        <v>48876</v>
      </c>
      <c r="W27" s="3" t="n">
        <v>3799</v>
      </c>
      <c r="X27" s="6">
        <f>IFERROR(IF(ISNUMBER(P27),F27*P27,""),"")</f>
        <v>24.3286480072019</v>
      </c>
      <c r="Y27" s="2" t="inlineStr">
        <is>
          <t>CTR及购买比均低于市场（描述）</t>
        </is>
      </c>
      <c r="Z27" s="2" t="inlineStr">
        <is>
          <t>先查词意图与主力ASIN，再核查商品和展示条件</t>
        </is>
      </c>
      <c r="AA27" s="3" t="n">
        <v>270</v>
      </c>
      <c r="AB27" s="3" t="n">
        <v>30</v>
      </c>
    </row>
    <row r="28">
      <c r="A28" s="3" t="n">
        <v>27</v>
      </c>
      <c r="B28" s="4" t="inlineStr">
        <is>
          <t>glass tea pitcher</t>
        </is>
      </c>
      <c r="C28" s="3" t="n">
        <v>6043</v>
      </c>
      <c r="D28" s="3" t="n">
        <v>5</v>
      </c>
      <c r="E28" s="3" t="n">
        <v>11006</v>
      </c>
      <c r="F28" s="3" t="n">
        <v>313</v>
      </c>
      <c r="G28" s="5">
        <f>F28/47159</f>
        <v>0.0066371212281855</v>
      </c>
      <c r="H28" s="3" t="n">
        <v>115</v>
      </c>
      <c r="I28" s="3" t="n">
        <v>42</v>
      </c>
      <c r="J28" s="5">
        <f>I28/3778</f>
        <v>0.01111699311805188</v>
      </c>
      <c r="K28" s="5">
        <f>IFERROR(IF(AND(ISNUMBER(F28),ISNUMBER(E28),E28&gt;0),F28/E28,""),"")</f>
        <v>0.028439033254588405</v>
      </c>
      <c r="L28" s="5">
        <f>IFERROR(IF(AND(ISNUMBER(V28),ISNUMBER(U28),U28&gt;0),V28/U28,""),"")</f>
        <v>0.015352582749012524</v>
      </c>
      <c r="M28" s="6">
        <f>IFERROR(IF(AND(ISNUMBER(K28),ISNUMBER(L28)),(K28-L28)*100,""),"")</f>
        <v>1.3086450505575882</v>
      </c>
      <c r="N28" s="5">
        <f>IFERROR(IF(AND(ISNUMBER(H28),ISNUMBER(F28),F28&gt;0),H28/F28,""),"")</f>
        <v>0.36741214057507987</v>
      </c>
      <c r="O28" s="5">
        <f>IFERROR(IF(AND(ISNUMBER(I28),ISNUMBER(F28),F28&gt;0),I28/F28,""),"")</f>
        <v>0.134185303514377</v>
      </c>
      <c r="P28" s="5">
        <f>IFERROR(IF(AND(ISNUMBER(W28),ISNUMBER(V28),V28&gt;0),W28/V28,""),"")</f>
        <v>0.11647387315516554</v>
      </c>
      <c r="Q28" s="6">
        <f>IFERROR(IF(AND(ISNUMBER(O28),ISNUMBER(P28)),(O28-P28)*100,""),"")</f>
        <v>1.7711430359211453</v>
      </c>
      <c r="R28" s="4" t="inlineStr">
        <is>
          <t>B0DGCVK1JL</t>
        </is>
      </c>
      <c r="S28" s="3" t="n">
        <v>290</v>
      </c>
      <c r="T28" s="5">
        <f>IFERROR(S28/F28,"")</f>
        <v>0.9265175718849841</v>
      </c>
      <c r="U28" s="3" t="n">
        <v>163295</v>
      </c>
      <c r="V28" s="3" t="n">
        <v>2507</v>
      </c>
      <c r="W28" s="3" t="n">
        <v>292</v>
      </c>
      <c r="X28" s="6">
        <f>IFERROR(IF(ISNUMBER(P28),F28*P28,""),"")</f>
        <v>36.456322297566814</v>
      </c>
      <c r="Y28" s="2" t="inlineStr">
        <is>
          <t>CTR及购买比均不低于市场（描述）</t>
        </is>
      </c>
      <c r="Z28" s="2" t="inlineStr">
        <is>
          <t>确认相关性和表现稳定性；增长测试还需成本、利润与库存</t>
        </is>
      </c>
      <c r="AA28" s="3" t="n">
        <v>256</v>
      </c>
      <c r="AB28" s="3" t="n">
        <v>78</v>
      </c>
    </row>
    <row r="29">
      <c r="A29" s="3" t="n">
        <v>28</v>
      </c>
      <c r="B29" s="4" t="inlineStr">
        <is>
          <t>mason jar pour spout lid</t>
        </is>
      </c>
      <c r="C29" s="3" t="n">
        <v>19363</v>
      </c>
      <c r="D29" s="3" t="n">
        <v>4</v>
      </c>
      <c r="E29" s="3" t="n">
        <v>13869</v>
      </c>
      <c r="F29" s="3" t="n">
        <v>309</v>
      </c>
      <c r="G29" s="5">
        <f>F29/47159</f>
        <v>0.006552301787569711</v>
      </c>
      <c r="H29" s="3" t="n">
        <v>84</v>
      </c>
      <c r="I29" s="3" t="n">
        <v>19</v>
      </c>
      <c r="J29" s="5">
        <f>I29/3778</f>
        <v>0.005029115934356803</v>
      </c>
      <c r="K29" s="5">
        <f>IFERROR(IF(AND(ISNUMBER(F29),ISNUMBER(E29),E29&gt;0),F29/E29,""),"")</f>
        <v>0.02227990482370755</v>
      </c>
      <c r="L29" s="5">
        <f>IFERROR(IF(AND(ISNUMBER(V29),ISNUMBER(U29),U29&gt;0),V29/U29,""),"")</f>
        <v>0.020696353021287996</v>
      </c>
      <c r="M29" s="6">
        <f>IFERROR(IF(AND(ISNUMBER(K29),ISNUMBER(L29)),(K29-L29)*100,""),"")</f>
        <v>0.15835518024195533</v>
      </c>
      <c r="N29" s="5">
        <f>IFERROR(IF(AND(ISNUMBER(H29),ISNUMBER(F29),F29&gt;0),H29/F29,""),"")</f>
        <v>0.27184466019417475</v>
      </c>
      <c r="O29" s="5">
        <f>IFERROR(IF(AND(ISNUMBER(I29),ISNUMBER(F29),F29&gt;0),I29/F29,""),"")</f>
        <v>0.061488673139158574</v>
      </c>
      <c r="P29" s="5">
        <f>IFERROR(IF(AND(ISNUMBER(W29),ISNUMBER(V29),V29&gt;0),W29/V29,""),"")</f>
        <v>0.1354908306364617</v>
      </c>
      <c r="Q29" s="6">
        <f>IFERROR(IF(AND(ISNUMBER(O29),ISNUMBER(P29)),(O29-P29)*100,""),"")</f>
        <v>-7.400215749730313</v>
      </c>
      <c r="R29" s="4" t="inlineStr">
        <is>
          <t>B0DGCVK1JL</t>
        </is>
      </c>
      <c r="S29" s="3" t="n">
        <v>273</v>
      </c>
      <c r="T29" s="5">
        <f>IFERROR(S29/F29,"")</f>
        <v>0.883495145631068</v>
      </c>
      <c r="U29" s="3" t="n">
        <v>447905</v>
      </c>
      <c r="V29" s="3" t="n">
        <v>9270</v>
      </c>
      <c r="W29" s="3" t="n">
        <v>1256</v>
      </c>
      <c r="X29" s="6">
        <f>IFERROR(IF(ISNUMBER(P29),F29*P29,""),"")</f>
        <v>41.86666666666667</v>
      </c>
      <c r="Y29" s="2" t="inlineStr">
        <is>
          <t>CTR不低，购买比低于市场（描述）</t>
        </is>
      </c>
      <c r="Z29" s="2" t="inlineStr">
        <is>
          <t>查主力ASIN规格、功能、价格、库存及页面；原因待验证</t>
        </is>
      </c>
      <c r="AA29" s="3" t="n">
        <v>263</v>
      </c>
      <c r="AB29" s="3" t="n">
        <v>62</v>
      </c>
    </row>
    <row r="30">
      <c r="A30" s="3" t="n">
        <v>29</v>
      </c>
      <c r="B30" s="4" t="inlineStr">
        <is>
          <t>tea pitcher for fridge</t>
        </is>
      </c>
      <c r="C30" s="3" t="n">
        <v>6056</v>
      </c>
      <c r="D30" s="3" t="n">
        <v>7</v>
      </c>
      <c r="E30" s="3" t="n">
        <v>12537</v>
      </c>
      <c r="F30" s="3" t="n">
        <v>305</v>
      </c>
      <c r="G30" s="5">
        <f>F30/47159</f>
        <v>0.006467482346953921</v>
      </c>
      <c r="H30" s="3" t="n">
        <v>132</v>
      </c>
      <c r="I30" s="3" t="n">
        <v>46</v>
      </c>
      <c r="J30" s="5">
        <f>I30/3778</f>
        <v>0.012175754367390153</v>
      </c>
      <c r="K30" s="5">
        <f>IFERROR(IF(AND(ISNUMBER(F30),ISNUMBER(E30),E30&gt;0),F30/E30,""),"")</f>
        <v>0.024327989152109757</v>
      </c>
      <c r="L30" s="5">
        <f>IFERROR(IF(AND(ISNUMBER(V30),ISNUMBER(U30),U30&gt;0),V30/U30,""),"")</f>
        <v>0.01645877924570079</v>
      </c>
      <c r="M30" s="6">
        <f>IFERROR(IF(AND(ISNUMBER(K30),ISNUMBER(L30)),(K30-L30)*100,""),"")</f>
        <v>0.7869209906408967</v>
      </c>
      <c r="N30" s="5">
        <f>IFERROR(IF(AND(ISNUMBER(H30),ISNUMBER(F30),F30&gt;0),H30/F30,""),"")</f>
        <v>0.43278688524590164</v>
      </c>
      <c r="O30" s="5">
        <f>IFERROR(IF(AND(ISNUMBER(I30),ISNUMBER(F30),F30&gt;0),I30/F30,""),"")</f>
        <v>0.15081967213114755</v>
      </c>
      <c r="P30" s="5">
        <f>IFERROR(IF(AND(ISNUMBER(W30),ISNUMBER(V30),V30&gt;0),W30/V30,""),"")</f>
        <v>0.13167549938850387</v>
      </c>
      <c r="Q30" s="6">
        <f>IFERROR(IF(AND(ISNUMBER(O30),ISNUMBER(P30)),(O30-P30)*100,""),"")</f>
        <v>1.9144172742643684</v>
      </c>
      <c r="R30" s="4" t="inlineStr">
        <is>
          <t>B0DGCVK1JL</t>
        </is>
      </c>
      <c r="S30" s="3" t="n">
        <v>243</v>
      </c>
      <c r="T30" s="5">
        <f>IFERROR(S30/F30,"")</f>
        <v>0.7967213114754098</v>
      </c>
      <c r="U30" s="3" t="n">
        <v>149039</v>
      </c>
      <c r="V30" s="3" t="n">
        <v>2453</v>
      </c>
      <c r="W30" s="3" t="n">
        <v>323</v>
      </c>
      <c r="X30" s="6">
        <f>IFERROR(IF(ISNUMBER(P30),F30*P30,""),"")</f>
        <v>40.16102731349368</v>
      </c>
      <c r="Y30" s="2" t="inlineStr">
        <is>
          <t>CTR及购买比均不低于市场（描述）</t>
        </is>
      </c>
      <c r="Z30" s="2" t="inlineStr">
        <is>
          <t>确认相关性和表现稳定性；增长测试还需成本、利润与库存</t>
        </is>
      </c>
      <c r="AA30" s="3" t="n">
        <v>250</v>
      </c>
      <c r="AB30" s="3" t="n">
        <v>67</v>
      </c>
    </row>
    <row r="31">
      <c r="A31" s="3" t="n">
        <v>30</v>
      </c>
      <c r="B31" s="4" t="inlineStr">
        <is>
          <t>breast milk pitcher</t>
        </is>
      </c>
      <c r="C31" s="3" t="n">
        <v>57330</v>
      </c>
      <c r="D31" s="3" t="n">
        <v>5</v>
      </c>
      <c r="E31" s="3" t="n">
        <v>17871</v>
      </c>
      <c r="F31" s="3" t="n">
        <v>299</v>
      </c>
      <c r="G31" s="5">
        <f>F31/47159</f>
        <v>0.006340253186030238</v>
      </c>
      <c r="H31" s="3" t="n">
        <v>40</v>
      </c>
      <c r="I31" s="3" t="n">
        <v>8</v>
      </c>
      <c r="J31" s="5">
        <f>I31/3778</f>
        <v>0.0021175224986765486</v>
      </c>
      <c r="K31" s="5">
        <f>IFERROR(IF(AND(ISNUMBER(F31),ISNUMBER(E31),E31&gt;0),F31/E31,""),"")</f>
        <v>0.01673101673101673</v>
      </c>
      <c r="L31" s="5">
        <f>IFERROR(IF(AND(ISNUMBER(V31),ISNUMBER(U31),U31&gt;0),V31/U31,""),"")</f>
        <v>0.02314180034327142</v>
      </c>
      <c r="M31" s="6">
        <f>IFERROR(IF(AND(ISNUMBER(K31),ISNUMBER(L31)),(K31-L31)*100,""),"")</f>
        <v>-0.6410783612254688</v>
      </c>
      <c r="N31" s="5">
        <f>IFERROR(IF(AND(ISNUMBER(H31),ISNUMBER(F31),F31&gt;0),H31/F31,""),"")</f>
        <v>0.13377926421404682</v>
      </c>
      <c r="O31" s="5">
        <f>IFERROR(IF(AND(ISNUMBER(I31),ISNUMBER(F31),F31&gt;0),I31/F31,""),"")</f>
        <v>0.026755852842809364</v>
      </c>
      <c r="P31" s="5">
        <f>IFERROR(IF(AND(ISNUMBER(W31),ISNUMBER(V31),V31&gt;0),W31/V31,""),"")</f>
        <v>0.08911761831862154</v>
      </c>
      <c r="Q31" s="6">
        <f>IFERROR(IF(AND(ISNUMBER(O31),ISNUMBER(P31)),(O31-P31)*100,""),"")</f>
        <v>-6.236176547581218</v>
      </c>
      <c r="R31" s="4" t="inlineStr">
        <is>
          <t>B0FVFF4CP9</t>
        </is>
      </c>
      <c r="S31" s="3" t="n">
        <v>236</v>
      </c>
      <c r="T31" s="5">
        <f>IFERROR(S31/F31,"")</f>
        <v>0.7892976588628763</v>
      </c>
      <c r="U31" s="3" t="n">
        <v>1326647</v>
      </c>
      <c r="V31" s="3" t="n">
        <v>30701</v>
      </c>
      <c r="W31" s="3" t="n">
        <v>2736</v>
      </c>
      <c r="X31" s="6">
        <f>IFERROR(IF(ISNUMBER(P31),F31*P31,""),"")</f>
        <v>26.646167877267843</v>
      </c>
      <c r="Y31" s="2" t="inlineStr">
        <is>
          <t>CTR及购买比均低于市场（描述）</t>
        </is>
      </c>
      <c r="Z31" s="2" t="inlineStr">
        <is>
          <t>先查词意图与主力ASIN，再核查商品和展示条件</t>
        </is>
      </c>
      <c r="AA31" s="3" t="n">
        <v>1106</v>
      </c>
      <c r="AB31" s="3" t="n">
        <v>48</v>
      </c>
    </row>
    <row r="32">
      <c r="A32" s="3" t="n">
        <v>31</v>
      </c>
      <c r="B32" s="4" t="inlineStr">
        <is>
          <t>glass jars with lids</t>
        </is>
      </c>
      <c r="C32" s="3" t="n">
        <v>95374</v>
      </c>
      <c r="D32" s="3" t="n">
        <v>3</v>
      </c>
      <c r="E32" s="3" t="n">
        <v>63374</v>
      </c>
      <c r="F32" s="3" t="n">
        <v>290</v>
      </c>
      <c r="G32" s="5">
        <f>F32/47159</f>
        <v>0.006149409444644712</v>
      </c>
      <c r="H32" s="3" t="n">
        <v>105</v>
      </c>
      <c r="I32" s="3" t="n">
        <v>13</v>
      </c>
      <c r="J32" s="5">
        <f>I32/3778</f>
        <v>0.003440974060349391</v>
      </c>
      <c r="K32" s="5">
        <f>IFERROR(IF(AND(ISNUMBER(F32),ISNUMBER(E32),E32&gt;0),F32/E32,""),"")</f>
        <v>0.004576009088900811</v>
      </c>
      <c r="L32" s="5">
        <f>IFERROR(IF(AND(ISNUMBER(V32),ISNUMBER(U32),U32&gt;0),V32/U32,""),"")</f>
        <v>0.011237682268935765</v>
      </c>
      <c r="M32" s="6">
        <f>IFERROR(IF(AND(ISNUMBER(K32),ISNUMBER(L32)),(K32-L32)*100,""),"")</f>
        <v>-0.6661673180034954</v>
      </c>
      <c r="N32" s="5">
        <f>IFERROR(IF(AND(ISNUMBER(H32),ISNUMBER(F32),F32&gt;0),H32/F32,""),"")</f>
        <v>0.3620689655172414</v>
      </c>
      <c r="O32" s="5">
        <f>IFERROR(IF(AND(ISNUMBER(I32),ISNUMBER(F32),F32&gt;0),I32/F32,""),"")</f>
        <v>0.04482758620689655</v>
      </c>
      <c r="P32" s="5">
        <f>IFERROR(IF(AND(ISNUMBER(W32),ISNUMBER(V32),V32&gt;0),W32/V32,""),"")</f>
        <v>0.08474977991467461</v>
      </c>
      <c r="Q32" s="6">
        <f>IFERROR(IF(AND(ISNUMBER(O32),ISNUMBER(P32)),(O32-P32)*100,""),"")</f>
        <v>-3.992219370777806</v>
      </c>
      <c r="R32" s="4" t="inlineStr">
        <is>
          <t>B0DGCVK1JL</t>
        </is>
      </c>
      <c r="S32" s="3" t="n">
        <v>287</v>
      </c>
      <c r="T32" s="5">
        <f>IFERROR(S32/F32,"")</f>
        <v>0.9896551724137931</v>
      </c>
      <c r="U32" s="3" t="n">
        <v>2628122</v>
      </c>
      <c r="V32" s="3" t="n">
        <v>29534</v>
      </c>
      <c r="W32" s="3" t="n">
        <v>2503</v>
      </c>
      <c r="X32" s="6">
        <f>IFERROR(IF(ISNUMBER(P32),F32*P32,""),"")</f>
        <v>24.577436175255638</v>
      </c>
      <c r="Y32" s="2" t="inlineStr">
        <is>
          <t>CTR及购买比均低于市场（描述）</t>
        </is>
      </c>
      <c r="Z32" s="2" t="inlineStr">
        <is>
          <t>先查词意图与主力ASIN，再核查商品和展示条件</t>
        </is>
      </c>
      <c r="AA32" s="3" t="n">
        <v>166</v>
      </c>
      <c r="AB32" s="3" t="n">
        <v>12</v>
      </c>
    </row>
    <row r="33">
      <c r="A33" s="3" t="n">
        <v>32</v>
      </c>
      <c r="B33" s="4" t="inlineStr">
        <is>
          <t>ice tea pitcher for fridge</t>
        </is>
      </c>
      <c r="C33" s="3" t="n">
        <v>4985</v>
      </c>
      <c r="D33" s="3" t="n">
        <v>6</v>
      </c>
      <c r="E33" s="3" t="n">
        <v>11305</v>
      </c>
      <c r="F33" s="3" t="n">
        <v>290</v>
      </c>
      <c r="G33" s="5">
        <f>F33/47159</f>
        <v>0.006149409444644712</v>
      </c>
      <c r="H33" s="3" t="n">
        <v>108</v>
      </c>
      <c r="I33" s="3" t="n">
        <v>49</v>
      </c>
      <c r="J33" s="5">
        <f>I33/3778</f>
        <v>0.01296982530439386</v>
      </c>
      <c r="K33" s="5">
        <f>IFERROR(IF(AND(ISNUMBER(F33),ISNUMBER(E33),E33&gt;0),F33/E33,""),"")</f>
        <v>0.02565236620964175</v>
      </c>
      <c r="L33" s="5">
        <f>IFERROR(IF(AND(ISNUMBER(V33),ISNUMBER(U33),U33&gt;0),V33/U33,""),"")</f>
        <v>0.01540453074433657</v>
      </c>
      <c r="M33" s="6">
        <f>IFERROR(IF(AND(ISNUMBER(K33),ISNUMBER(L33)),(K33-L33)*100,""),"")</f>
        <v>1.0247835465305182</v>
      </c>
      <c r="N33" s="5">
        <f>IFERROR(IF(AND(ISNUMBER(H33),ISNUMBER(F33),F33&gt;0),H33/F33,""),"")</f>
        <v>0.3724137931034483</v>
      </c>
      <c r="O33" s="5">
        <f>IFERROR(IF(AND(ISNUMBER(I33),ISNUMBER(F33),F33&gt;0),I33/F33,""),"")</f>
        <v>0.16896551724137931</v>
      </c>
      <c r="P33" s="5">
        <f>IFERROR(IF(AND(ISNUMBER(W33),ISNUMBER(V33),V33&gt;0),W33/V33,""),"")</f>
        <v>0.15966386554621848</v>
      </c>
      <c r="Q33" s="6">
        <f>IFERROR(IF(AND(ISNUMBER(O33),ISNUMBER(P33)),(O33-P33)*100,""),"")</f>
        <v>0.930165169516084</v>
      </c>
      <c r="R33" s="4" t="inlineStr">
        <is>
          <t>B0DGCVK1JL</t>
        </is>
      </c>
      <c r="S33" s="3" t="n">
        <v>256</v>
      </c>
      <c r="T33" s="5">
        <f>IFERROR(S33/F33,"")</f>
        <v>0.8827586206896552</v>
      </c>
      <c r="U33" s="3" t="n">
        <v>139050</v>
      </c>
      <c r="V33" s="3" t="n">
        <v>2142</v>
      </c>
      <c r="W33" s="3" t="n">
        <v>342</v>
      </c>
      <c r="X33" s="6">
        <f>IFERROR(IF(ISNUMBER(P33),F33*P33,""),"")</f>
        <v>46.30252100840336</v>
      </c>
      <c r="Y33" s="2" t="inlineStr">
        <is>
          <t>CTR及购买比均不低于市场（描述）</t>
        </is>
      </c>
      <c r="Z33" s="2" t="inlineStr">
        <is>
          <t>确认相关性和表现稳定性；增长测试还需成本、利润与库存</t>
        </is>
      </c>
      <c r="AA33" s="3" t="n">
        <v>251</v>
      </c>
      <c r="AB33" s="3" t="n">
        <v>74</v>
      </c>
    </row>
    <row r="34">
      <c r="A34" s="3" t="n">
        <v>33</v>
      </c>
      <c r="B34" s="4" t="inlineStr">
        <is>
          <t>apartment essentials</t>
        </is>
      </c>
      <c r="C34" s="3" t="n">
        <v>410477</v>
      </c>
      <c r="D34" s="3" t="n">
        <v>2</v>
      </c>
      <c r="E34" s="3" t="n">
        <v>13366</v>
      </c>
      <c r="F34" s="3" t="n">
        <v>286</v>
      </c>
      <c r="G34" s="5">
        <f>F34/47159</f>
        <v>0.006064590004028924</v>
      </c>
      <c r="H34" s="3" t="n">
        <v>159</v>
      </c>
      <c r="I34" s="3" t="n">
        <v>1</v>
      </c>
      <c r="J34" s="5">
        <f>I34/3778</f>
        <v>0.00026469031233456857</v>
      </c>
      <c r="K34" s="5">
        <f>IFERROR(IF(AND(ISNUMBER(F34),ISNUMBER(E34),E34&gt;0),F34/E34,""),"")</f>
        <v>0.021397575938949573</v>
      </c>
      <c r="L34" s="5">
        <f>IFERROR(IF(AND(ISNUMBER(V34),ISNUMBER(U34),U34&gt;0),V34/U34,""),"")</f>
        <v>0.014920486990036686</v>
      </c>
      <c r="M34" s="6">
        <f>IFERROR(IF(AND(ISNUMBER(K34),ISNUMBER(L34)),(K34-L34)*100,""),"")</f>
        <v>0.6477088948912887</v>
      </c>
      <c r="N34" s="5">
        <f>IFERROR(IF(AND(ISNUMBER(H34),ISNUMBER(F34),F34&gt;0),H34/F34,""),"")</f>
        <v>0.5559440559440559</v>
      </c>
      <c r="O34" s="5">
        <f>IFERROR(IF(AND(ISNUMBER(I34),ISNUMBER(F34),F34&gt;0),I34/F34,""),"")</f>
        <v>0.0034965034965034965</v>
      </c>
      <c r="P34" s="5">
        <f>IFERROR(IF(AND(ISNUMBER(W34),ISNUMBER(V34),V34&gt;0),W34/V34,""),"")</f>
        <v>0.01710425323558214</v>
      </c>
      <c r="Q34" s="6">
        <f>IFERROR(IF(AND(ISNUMBER(O34),ISNUMBER(P34)),(O34-P34)*100,""),"")</f>
        <v>-1.3607749739078645</v>
      </c>
      <c r="R34" s="4" t="inlineStr">
        <is>
          <t>B0DGCVK1JL</t>
        </is>
      </c>
      <c r="S34" s="3" t="n">
        <v>285</v>
      </c>
      <c r="T34" s="5">
        <f>IFERROR(S34/F34,"")</f>
        <v>0.9965034965034965</v>
      </c>
      <c r="U34" s="3" t="n">
        <v>10129160</v>
      </c>
      <c r="V34" s="3" t="n">
        <v>151132</v>
      </c>
      <c r="W34" s="3" t="n">
        <v>2585</v>
      </c>
      <c r="X34" s="6">
        <f>IFERROR(IF(ISNUMBER(P34),F34*P34,""),"")</f>
        <v>4.891816425376492</v>
      </c>
      <c r="Y34" s="2" t="inlineStr">
        <is>
          <t>购买基准计数少，先观察</t>
        </is>
      </c>
      <c r="Z34" s="2" t="inlineStr">
        <is>
          <t>核查词意图和主力ASIN；不凭比率判断购买优劣</t>
        </is>
      </c>
      <c r="AA34" s="3" t="n">
        <v>346</v>
      </c>
      <c r="AB34" s="3" t="n">
        <v>64</v>
      </c>
    </row>
    <row r="35">
      <c r="A35" s="3" t="n">
        <v>34</v>
      </c>
      <c r="B35" s="4" t="inlineStr">
        <is>
          <t>tea pot</t>
        </is>
      </c>
      <c r="C35" s="3" t="n">
        <v>128840</v>
      </c>
      <c r="D35" s="3" t="n">
        <v>2</v>
      </c>
      <c r="E35" s="3" t="n">
        <v>35678</v>
      </c>
      <c r="F35" s="3" t="n">
        <v>277</v>
      </c>
      <c r="G35" s="5">
        <f>F35/47159</f>
        <v>0.0058737462626433975</v>
      </c>
      <c r="H35" s="3" t="n">
        <v>94</v>
      </c>
      <c r="I35" s="3" t="n">
        <v>8</v>
      </c>
      <c r="J35" s="5">
        <f>I35/3778</f>
        <v>0.0021175224986765486</v>
      </c>
      <c r="K35" s="5">
        <f>IFERROR(IF(AND(ISNUMBER(F35),ISNUMBER(E35),E35&gt;0),F35/E35,""),"")</f>
        <v>0.007763888110320086</v>
      </c>
      <c r="L35" s="5">
        <f>IFERROR(IF(AND(ISNUMBER(V35),ISNUMBER(U35),U35&gt;0),V35/U35,""),"")</f>
        <v>0.011620655907896009</v>
      </c>
      <c r="M35" s="6">
        <f>IFERROR(IF(AND(ISNUMBER(K35),ISNUMBER(L35)),(K35-L35)*100,""),"")</f>
        <v>-0.38567677975759235</v>
      </c>
      <c r="N35" s="5">
        <f>IFERROR(IF(AND(ISNUMBER(H35),ISNUMBER(F35),F35&gt;0),H35/F35,""),"")</f>
        <v>0.33935018050541516</v>
      </c>
      <c r="O35" s="5">
        <f>IFERROR(IF(AND(ISNUMBER(I35),ISNUMBER(F35),F35&gt;0),I35/F35,""),"")</f>
        <v>0.02888086642599278</v>
      </c>
      <c r="P35" s="5">
        <f>IFERROR(IF(AND(ISNUMBER(W35),ISNUMBER(V35),V35&gt;0),W35/V35,""),"")</f>
        <v>0.07227218550222125</v>
      </c>
      <c r="Q35" s="6">
        <f>IFERROR(IF(AND(ISNUMBER(O35),ISNUMBER(P35)),(O35-P35)*100,""),"")</f>
        <v>-4.339131907622847</v>
      </c>
      <c r="R35" s="4" t="inlineStr">
        <is>
          <t>B0DGCVK1JL</t>
        </is>
      </c>
      <c r="S35" s="3" t="n">
        <v>262</v>
      </c>
      <c r="T35" s="5">
        <f>IFERROR(S35/F35,"")</f>
        <v>0.9458483754512635</v>
      </c>
      <c r="U35" s="3" t="n">
        <v>3176757</v>
      </c>
      <c r="V35" s="3" t="n">
        <v>36916</v>
      </c>
      <c r="W35" s="3" t="n">
        <v>2668</v>
      </c>
      <c r="X35" s="6">
        <f>IFERROR(IF(ISNUMBER(P35),F35*P35,""),"")</f>
        <v>20.01939538411529</v>
      </c>
      <c r="Y35" s="2" t="inlineStr">
        <is>
          <t>CTR及购买比均低于市场（描述）</t>
        </is>
      </c>
      <c r="Z35" s="2" t="inlineStr">
        <is>
          <t>先查词意图与主力ASIN，再核查商品和展示条件</t>
        </is>
      </c>
      <c r="AA35" s="3" t="n">
        <v>314</v>
      </c>
      <c r="AB35" s="3" t="n">
        <v>20</v>
      </c>
    </row>
    <row r="36">
      <c r="A36" s="3" t="n">
        <v>35</v>
      </c>
      <c r="B36" s="4" t="inlineStr">
        <is>
          <t>gallon pitcher</t>
        </is>
      </c>
      <c r="C36" s="3" t="n">
        <v>15785</v>
      </c>
      <c r="D36" s="3" t="n">
        <v>4</v>
      </c>
      <c r="E36" s="3" t="n">
        <v>17212</v>
      </c>
      <c r="F36" s="3" t="n">
        <v>275</v>
      </c>
      <c r="G36" s="5">
        <f>F36/47159</f>
        <v>0.005831336542335503</v>
      </c>
      <c r="H36" s="3" t="n">
        <v>79</v>
      </c>
      <c r="I36" s="3" t="n">
        <v>17</v>
      </c>
      <c r="J36" s="5">
        <f>I36/3778</f>
        <v>0.004499735309687666</v>
      </c>
      <c r="K36" s="5">
        <f>IFERROR(IF(AND(ISNUMBER(F36),ISNUMBER(E36),E36&gt;0),F36/E36,""),"")</f>
        <v>0.0159772251917267</v>
      </c>
      <c r="L36" s="5">
        <f>IFERROR(IF(AND(ISNUMBER(V36),ISNUMBER(U36),U36&gt;0),V36/U36,""),"")</f>
        <v>0.014680163847767819</v>
      </c>
      <c r="M36" s="6">
        <f>IFERROR(IF(AND(ISNUMBER(K36),ISNUMBER(L36)),(K36-L36)*100,""),"")</f>
        <v>0.12970613439588827</v>
      </c>
      <c r="N36" s="5">
        <f>IFERROR(IF(AND(ISNUMBER(H36),ISNUMBER(F36),F36&gt;0),H36/F36,""),"")</f>
        <v>0.2872727272727273</v>
      </c>
      <c r="O36" s="5">
        <f>IFERROR(IF(AND(ISNUMBER(I36),ISNUMBER(F36),F36&gt;0),I36/F36,""),"")</f>
        <v>0.06181818181818182</v>
      </c>
      <c r="P36" s="5">
        <f>IFERROR(IF(AND(ISNUMBER(W36),ISNUMBER(V36),V36&gt;0),W36/V36,""),"")</f>
        <v>0.13705583756345177</v>
      </c>
      <c r="Q36" s="6">
        <f>IFERROR(IF(AND(ISNUMBER(O36),ISNUMBER(P36)),(O36-P36)*100,""),"")</f>
        <v>-7.523765574526994</v>
      </c>
      <c r="R36" s="4" t="inlineStr">
        <is>
          <t>B0DGCVK1JL</t>
        </is>
      </c>
      <c r="S36" s="3" t="n">
        <v>260</v>
      </c>
      <c r="T36" s="5">
        <f>IFERROR(S36/F36,"")</f>
        <v>0.9454545454545454</v>
      </c>
      <c r="U36" s="3" t="n">
        <v>429423</v>
      </c>
      <c r="V36" s="3" t="n">
        <v>6304</v>
      </c>
      <c r="W36" s="3" t="n">
        <v>864</v>
      </c>
      <c r="X36" s="6">
        <f>IFERROR(IF(ISNUMBER(P36),F36*P36,""),"")</f>
        <v>37.690355329949234</v>
      </c>
      <c r="Y36" s="2" t="inlineStr">
        <is>
          <t>CTR不低，购买比低于市场（描述）</t>
        </is>
      </c>
      <c r="Z36" s="2" t="inlineStr">
        <is>
          <t>查主力ASIN规格、功能、价格、库存及页面；原因待验证</t>
        </is>
      </c>
      <c r="AA36" s="3" t="n">
        <v>342</v>
      </c>
      <c r="AB36" s="3" t="n">
        <v>51</v>
      </c>
    </row>
    <row r="37">
      <c r="A37" s="3" t="n">
        <v>36</v>
      </c>
      <c r="B37" s="4" t="inlineStr">
        <is>
          <t>kitchen appliances</t>
        </is>
      </c>
      <c r="C37" s="3" t="n">
        <v>1402718</v>
      </c>
      <c r="D37" s="3" t="n">
        <v>2</v>
      </c>
      <c r="E37" s="3" t="n">
        <v>28001</v>
      </c>
      <c r="F37" s="3" t="n">
        <v>256</v>
      </c>
      <c r="G37" s="5">
        <f>F37/47159</f>
        <v>0.005428444199410505</v>
      </c>
      <c r="H37" s="3" t="n">
        <v>97</v>
      </c>
      <c r="I37" s="3" t="n">
        <v>3</v>
      </c>
      <c r="J37" s="5">
        <f>I37/3778</f>
        <v>0.0007940709370037057</v>
      </c>
      <c r="K37" s="5">
        <f>IFERROR(IF(AND(ISNUMBER(F37),ISNUMBER(E37),E37&gt;0),F37/E37,""),"")</f>
        <v>0.009142530623906289</v>
      </c>
      <c r="L37" s="5">
        <f>IFERROR(IF(AND(ISNUMBER(V37),ISNUMBER(U37),U37&gt;0),V37/U37,""),"")</f>
        <v>0.010278928960010888</v>
      </c>
      <c r="M37" s="6">
        <f>IFERROR(IF(AND(ISNUMBER(K37),ISNUMBER(L37)),(K37-L37)*100,""),"")</f>
        <v>-0.11363983361045993</v>
      </c>
      <c r="N37" s="5">
        <f>IFERROR(IF(AND(ISNUMBER(H37),ISNUMBER(F37),F37&gt;0),H37/F37,""),"")</f>
        <v>0.37890625</v>
      </c>
      <c r="O37" s="5">
        <f>IFERROR(IF(AND(ISNUMBER(I37),ISNUMBER(F37),F37&gt;0),I37/F37,""),"")</f>
        <v>0.01171875</v>
      </c>
      <c r="P37" s="5">
        <f>IFERROR(IF(AND(ISNUMBER(W37),ISNUMBER(V37),V37&gt;0),W37/V37,""),"")</f>
        <v>0.0036522917817159496</v>
      </c>
      <c r="Q37" s="6">
        <f>IFERROR(IF(AND(ISNUMBER(O37),ISNUMBER(P37)),(O37-P37)*100,""),"")</f>
        <v>0.806645821828405</v>
      </c>
      <c r="R37" s="4" t="inlineStr">
        <is>
          <t>B0DGCVK1JL</t>
        </is>
      </c>
      <c r="S37" s="3" t="n">
        <v>253</v>
      </c>
      <c r="T37" s="5">
        <f>IFERROR(S37/F37,"")</f>
        <v>0.98828125</v>
      </c>
      <c r="U37" s="3" t="n">
        <v>31005565</v>
      </c>
      <c r="V37" s="3" t="n">
        <v>318704</v>
      </c>
      <c r="W37" s="3" t="n">
        <v>1164</v>
      </c>
      <c r="X37" s="6">
        <f>IFERROR(IF(ISNUMBER(P37),F37*P37,""),"")</f>
        <v>0.9349866961192831</v>
      </c>
      <c r="Y37" s="2" t="inlineStr">
        <is>
          <t>购买基准计数少，先观察</t>
        </is>
      </c>
      <c r="Z37" s="2" t="inlineStr">
        <is>
          <t>核查词意图和主力ASIN；不凭比率判断购买优劣</t>
        </is>
      </c>
      <c r="AA37" s="3" t="n">
        <v>269</v>
      </c>
      <c r="AB37" s="3" t="n">
        <v>29</v>
      </c>
    </row>
    <row r="38">
      <c r="A38" s="3" t="n">
        <v>37</v>
      </c>
      <c r="B38" s="4" t="inlineStr">
        <is>
          <t>le creuset</t>
        </is>
      </c>
      <c r="C38" s="3" t="n">
        <v>162734</v>
      </c>
      <c r="D38" s="3" t="n">
        <v>4</v>
      </c>
      <c r="E38" s="3" t="n">
        <v>28701</v>
      </c>
      <c r="F38" s="3" t="n">
        <v>255</v>
      </c>
      <c r="G38" s="5">
        <f>F38/47159</f>
        <v>0.005407239339256557</v>
      </c>
      <c r="H38" s="3" t="n">
        <v>79</v>
      </c>
      <c r="I38" s="3" t="n">
        <v>3</v>
      </c>
      <c r="J38" s="5">
        <f>I38/3778</f>
        <v>0.0007940709370037057</v>
      </c>
      <c r="K38" s="5">
        <f>IFERROR(IF(AND(ISNUMBER(F38),ISNUMBER(E38),E38&gt;0),F38/E38,""),"")</f>
        <v>0.0088847078499007</v>
      </c>
      <c r="L38" s="5">
        <f>IFERROR(IF(AND(ISNUMBER(V38),ISNUMBER(U38),U38&gt;0),V38/U38,""),"")</f>
        <v>0.012681512948072897</v>
      </c>
      <c r="M38" s="6">
        <f>IFERROR(IF(AND(ISNUMBER(K38),ISNUMBER(L38)),(K38-L38)*100,""),"")</f>
        <v>-0.3796805098172196</v>
      </c>
      <c r="N38" s="5">
        <f>IFERROR(IF(AND(ISNUMBER(H38),ISNUMBER(F38),F38&gt;0),H38/F38,""),"")</f>
        <v>0.30980392156862746</v>
      </c>
      <c r="O38" s="5">
        <f>IFERROR(IF(AND(ISNUMBER(I38),ISNUMBER(F38),F38&gt;0),I38/F38,""),"")</f>
        <v>0.011764705882352941</v>
      </c>
      <c r="P38" s="5">
        <f>IFERROR(IF(AND(ISNUMBER(W38),ISNUMBER(V38),V38&gt;0),W38/V38,""),"")</f>
        <v>0.011336814912557846</v>
      </c>
      <c r="Q38" s="6">
        <f>IFERROR(IF(AND(ISNUMBER(O38),ISNUMBER(P38)),(O38-P38)*100,""),"")</f>
        <v>0.042789096979509514</v>
      </c>
      <c r="R38" s="4" t="inlineStr">
        <is>
          <t>B0DGCVK1JL</t>
        </is>
      </c>
      <c r="S38" s="3" t="n">
        <v>183</v>
      </c>
      <c r="T38" s="5">
        <f>IFERROR(S38/F38,"")</f>
        <v>0.7176470588235294</v>
      </c>
      <c r="U38" s="3" t="n">
        <v>4242948</v>
      </c>
      <c r="V38" s="3" t="n">
        <v>53807</v>
      </c>
      <c r="W38" s="3" t="n">
        <v>610</v>
      </c>
      <c r="X38" s="6">
        <f>IFERROR(IF(ISNUMBER(P38),F38*P38,""),"")</f>
        <v>2.8908878027022507</v>
      </c>
      <c r="Y38" s="2" t="inlineStr">
        <is>
          <t>购买基准计数少，先观察</t>
        </is>
      </c>
      <c r="Z38" s="2" t="inlineStr">
        <is>
          <t>核查词意图和主力ASIN；不凭比率判断购买优劣</t>
        </is>
      </c>
      <c r="AA38" s="3" t="n">
        <v>303</v>
      </c>
      <c r="AB38" s="3" t="n">
        <v>28</v>
      </c>
    </row>
    <row r="39">
      <c r="A39" s="3" t="n">
        <v>38</v>
      </c>
      <c r="B39" s="4" t="inlineStr">
        <is>
          <t>fridge organizers and storage</t>
        </is>
      </c>
      <c r="C39" s="3" t="n">
        <v>176685</v>
      </c>
      <c r="D39" s="3" t="n">
        <v>2</v>
      </c>
      <c r="E39" s="3" t="n">
        <v>7047</v>
      </c>
      <c r="F39" s="3" t="n">
        <v>245</v>
      </c>
      <c r="G39" s="5">
        <f>F39/47159</f>
        <v>0.005195190737717085</v>
      </c>
      <c r="H39" s="3" t="n">
        <v>109</v>
      </c>
      <c r="I39" s="3" t="n">
        <v>5</v>
      </c>
      <c r="J39" s="5">
        <f>I39/3778</f>
        <v>0.0013234515616728428</v>
      </c>
      <c r="K39" s="5">
        <f>IFERROR(IF(AND(ISNUMBER(F39),ISNUMBER(E39),E39&gt;0),F39/E39,""),"")</f>
        <v>0.03476656733361714</v>
      </c>
      <c r="L39" s="5">
        <f>IFERROR(IF(AND(ISNUMBER(V39),ISNUMBER(U39),U39&gt;0),V39/U39,""),"")</f>
        <v>0.017224489968382488</v>
      </c>
      <c r="M39" s="6">
        <f>IFERROR(IF(AND(ISNUMBER(K39),ISNUMBER(L39)),(K39-L39)*100,""),"")</f>
        <v>1.7542077365234652</v>
      </c>
      <c r="N39" s="5">
        <f>IFERROR(IF(AND(ISNUMBER(H39),ISNUMBER(F39),F39&gt;0),H39/F39,""),"")</f>
        <v>0.4448979591836735</v>
      </c>
      <c r="O39" s="5">
        <f>IFERROR(IF(AND(ISNUMBER(I39),ISNUMBER(F39),F39&gt;0),I39/F39,""),"")</f>
        <v>0.02040816326530612</v>
      </c>
      <c r="P39" s="5">
        <f>IFERROR(IF(AND(ISNUMBER(W39),ISNUMBER(V39),V39&gt;0),W39/V39,""),"")</f>
        <v>0.04434692542520715</v>
      </c>
      <c r="Q39" s="6">
        <f>IFERROR(IF(AND(ISNUMBER(O39),ISNUMBER(P39)),(O39-P39)*100,""),"")</f>
        <v>-2.393876215990103</v>
      </c>
      <c r="R39" s="4" t="inlineStr">
        <is>
          <t>B0DGCVK1JL</t>
        </is>
      </c>
      <c r="S39" s="3" t="n">
        <v>243</v>
      </c>
      <c r="T39" s="5">
        <f>IFERROR(S39/F39,"")</f>
        <v>0.9918367346938776</v>
      </c>
      <c r="U39" s="3" t="n">
        <v>4259981</v>
      </c>
      <c r="V39" s="3" t="n">
        <v>73376</v>
      </c>
      <c r="W39" s="3" t="n">
        <v>3254</v>
      </c>
      <c r="X39" s="6">
        <f>IFERROR(IF(ISNUMBER(P39),F39*P39,""),"")</f>
        <v>10.864996729175752</v>
      </c>
      <c r="Y39" s="2" t="inlineStr">
        <is>
          <t>CTR不低，购买比低于市场（描述）</t>
        </is>
      </c>
      <c r="Z39" s="2" t="inlineStr">
        <is>
          <t>查主力ASIN规格、功能、价格、库存及页面；原因待验证</t>
        </is>
      </c>
      <c r="AA39" s="3" t="n">
        <v>309</v>
      </c>
      <c r="AB39" s="4" t="n"/>
    </row>
    <row r="40">
      <c r="A40" s="3" t="n">
        <v>39</v>
      </c>
      <c r="B40" s="4" t="inlineStr">
        <is>
          <t>overnight oats containers with lids</t>
        </is>
      </c>
      <c r="C40" s="3" t="n">
        <v>202648</v>
      </c>
      <c r="D40" s="3" t="n">
        <v>3</v>
      </c>
      <c r="E40" s="3" t="n">
        <v>15501</v>
      </c>
      <c r="F40" s="3" t="n">
        <v>241</v>
      </c>
      <c r="G40" s="5">
        <f>F40/47159</f>
        <v>0.005110371297101296</v>
      </c>
      <c r="H40" s="3" t="n">
        <v>63</v>
      </c>
      <c r="I40" s="3" t="n">
        <v>15</v>
      </c>
      <c r="J40" s="5">
        <f>I40/3778</f>
        <v>0.003970354685018529</v>
      </c>
      <c r="K40" s="5">
        <f>IFERROR(IF(AND(ISNUMBER(F40),ISNUMBER(E40),E40&gt;0),F40/E40,""),"")</f>
        <v>0.015547384039739372</v>
      </c>
      <c r="L40" s="5">
        <f>IFERROR(IF(AND(ISNUMBER(V40),ISNUMBER(U40),U40&gt;0),V40/U40,""),"")</f>
        <v>0.01992018839456411</v>
      </c>
      <c r="M40" s="6">
        <f>IFERROR(IF(AND(ISNUMBER(K40),ISNUMBER(L40)),(K40-L40)*100,""),"")</f>
        <v>-0.43728043548247364</v>
      </c>
      <c r="N40" s="5">
        <f>IFERROR(IF(AND(ISNUMBER(H40),ISNUMBER(F40),F40&gt;0),H40/F40,""),"")</f>
        <v>0.26141078838174275</v>
      </c>
      <c r="O40" s="5">
        <f>IFERROR(IF(AND(ISNUMBER(I40),ISNUMBER(F40),F40&gt;0),I40/F40,""),"")</f>
        <v>0.06224066390041494</v>
      </c>
      <c r="P40" s="5">
        <f>IFERROR(IF(AND(ISNUMBER(W40),ISNUMBER(V40),V40&gt;0),W40/V40,""),"")</f>
        <v>0.11553845068861641</v>
      </c>
      <c r="Q40" s="6">
        <f>IFERROR(IF(AND(ISNUMBER(O40),ISNUMBER(P40)),(O40-P40)*100,""),"")</f>
        <v>-5.329778678820148</v>
      </c>
      <c r="R40" s="4" t="inlineStr">
        <is>
          <t>B0DHCBQSZN</t>
        </is>
      </c>
      <c r="S40" s="3" t="n">
        <v>196</v>
      </c>
      <c r="T40" s="5">
        <f>IFERROR(S40/F40,"")</f>
        <v>0.8132780082987552</v>
      </c>
      <c r="U40" s="3" t="n">
        <v>4982734</v>
      </c>
      <c r="V40" s="3" t="n">
        <v>99257</v>
      </c>
      <c r="W40" s="3" t="n">
        <v>11468</v>
      </c>
      <c r="X40" s="6">
        <f>IFERROR(IF(ISNUMBER(P40),F40*P40,""),"")</f>
        <v>27.844766615956555</v>
      </c>
      <c r="Y40" s="2" t="inlineStr">
        <is>
          <t>CTR及购买比均低于市场（描述）</t>
        </is>
      </c>
      <c r="Z40" s="2" t="inlineStr">
        <is>
          <t>先查词意图与主力ASIN，再核查商品和展示条件</t>
        </is>
      </c>
      <c r="AA40" s="3" t="n">
        <v>427</v>
      </c>
      <c r="AB40" s="3" t="n">
        <v>57</v>
      </c>
    </row>
    <row r="41">
      <c r="A41" s="3" t="n">
        <v>40</v>
      </c>
      <c r="B41" s="4" t="inlineStr">
        <is>
          <t>laundry detergent dispenser</t>
        </is>
      </c>
      <c r="C41" s="3" t="n">
        <v>57092</v>
      </c>
      <c r="D41" s="3" t="n">
        <v>3</v>
      </c>
      <c r="E41" s="3" t="n">
        <v>15254</v>
      </c>
      <c r="F41" s="3" t="n">
        <v>234</v>
      </c>
      <c r="G41" s="5">
        <f>F41/47159</f>
        <v>0.0049619372760236645</v>
      </c>
      <c r="H41" s="3" t="n">
        <v>61</v>
      </c>
      <c r="I41" s="3" t="n">
        <v>17</v>
      </c>
      <c r="J41" s="5">
        <f>I41/3778</f>
        <v>0.004499735309687666</v>
      </c>
      <c r="K41" s="5">
        <f>IFERROR(IF(AND(ISNUMBER(F41),ISNUMBER(E41),E41&gt;0),F41/E41,""),"")</f>
        <v>0.015340238625934182</v>
      </c>
      <c r="L41" s="5">
        <f>IFERROR(IF(AND(ISNUMBER(V41),ISNUMBER(U41),U41&gt;0),V41/U41,""),"")</f>
        <v>0.016375294400072668</v>
      </c>
      <c r="M41" s="6">
        <f>IFERROR(IF(AND(ISNUMBER(K41),ISNUMBER(L41)),(K41-L41)*100,""),"")</f>
        <v>-0.1035055774138486</v>
      </c>
      <c r="N41" s="5">
        <f>IFERROR(IF(AND(ISNUMBER(H41),ISNUMBER(F41),F41&gt;0),H41/F41,""),"")</f>
        <v>0.2606837606837607</v>
      </c>
      <c r="O41" s="5">
        <f>IFERROR(IF(AND(ISNUMBER(I41),ISNUMBER(F41),F41&gt;0),I41/F41,""),"")</f>
        <v>0.07264957264957266</v>
      </c>
      <c r="P41" s="5">
        <f>IFERROR(IF(AND(ISNUMBER(W41),ISNUMBER(V41),V41&gt;0),W41/V41,""),"")</f>
        <v>0.06606904066168094</v>
      </c>
      <c r="Q41" s="6">
        <f>IFERROR(IF(AND(ISNUMBER(O41),ISNUMBER(P41)),(O41-P41)*100,""),"")</f>
        <v>0.6580531987891713</v>
      </c>
      <c r="R41" s="4" t="inlineStr">
        <is>
          <t>B0DK8995JD</t>
        </is>
      </c>
      <c r="S41" s="3" t="n">
        <v>136</v>
      </c>
      <c r="T41" s="5">
        <f>IFERROR(S41/F41,"")</f>
        <v>0.5811965811965812</v>
      </c>
      <c r="U41" s="3" t="n">
        <v>1233016</v>
      </c>
      <c r="V41" s="3" t="n">
        <v>20191</v>
      </c>
      <c r="W41" s="3" t="n">
        <v>1334</v>
      </c>
      <c r="X41" s="6">
        <f>IFERROR(IF(ISNUMBER(P41),F41*P41,""),"")</f>
        <v>15.46015551483334</v>
      </c>
      <c r="Y41" s="2" t="inlineStr">
        <is>
          <t>CTR低，购买比不低于市场（描述）</t>
        </is>
      </c>
      <c r="Z41" s="2" t="inlineStr">
        <is>
          <t>核查展示位置、主图标题、价位及竞争构成</t>
        </is>
      </c>
      <c r="AA41" s="3" t="n">
        <v>452</v>
      </c>
      <c r="AB41" s="3" t="n">
        <v>58</v>
      </c>
    </row>
    <row r="42">
      <c r="A42" s="3" t="n">
        <v>41</v>
      </c>
      <c r="B42" s="4" t="inlineStr">
        <is>
          <t>clearance</t>
        </is>
      </c>
      <c r="C42" s="3" t="n">
        <v>283992</v>
      </c>
      <c r="D42" s="3" t="n">
        <v>1</v>
      </c>
      <c r="E42" s="3" t="n">
        <v>30747</v>
      </c>
      <c r="F42" s="3" t="n">
        <v>233</v>
      </c>
      <c r="G42" s="5">
        <f>F42/47159</f>
        <v>0.004940732415869718</v>
      </c>
      <c r="H42" s="3" t="n">
        <v>58</v>
      </c>
      <c r="I42" s="3" t="n">
        <v>6</v>
      </c>
      <c r="J42" s="5">
        <f>I42/3778</f>
        <v>0.0015881418740074113</v>
      </c>
      <c r="K42" s="5">
        <f>IFERROR(IF(AND(ISNUMBER(F42),ISNUMBER(E42),E42&gt;0),F42/E42,""),"")</f>
        <v>0.007577975087000358</v>
      </c>
      <c r="L42" s="5">
        <f>IFERROR(IF(AND(ISNUMBER(V42),ISNUMBER(U42),U42&gt;0),V42/U42,""),"")</f>
        <v>0.0074491868975945525</v>
      </c>
      <c r="M42" s="6">
        <f>IFERROR(IF(AND(ISNUMBER(K42),ISNUMBER(L42)),(K42-L42)*100,""),"")</f>
        <v>0.012878818940580562</v>
      </c>
      <c r="N42" s="5">
        <f>IFERROR(IF(AND(ISNUMBER(H42),ISNUMBER(F42),F42&gt;0),H42/F42,""),"")</f>
        <v>0.24892703862660945</v>
      </c>
      <c r="O42" s="5">
        <f>IFERROR(IF(AND(ISNUMBER(I42),ISNUMBER(F42),F42&gt;0),I42/F42,""),"")</f>
        <v>0.02575107296137339</v>
      </c>
      <c r="P42" s="5">
        <f>IFERROR(IF(AND(ISNUMBER(W42),ISNUMBER(V42),V42&gt;0),W42/V42,""),"")</f>
        <v>0.037905798461249765</v>
      </c>
      <c r="Q42" s="6">
        <f>IFERROR(IF(AND(ISNUMBER(O42),ISNUMBER(P42)),(O42-P42)*100,""),"")</f>
        <v>-1.2154725499876375</v>
      </c>
      <c r="R42" s="4" t="inlineStr">
        <is>
          <t>B0DGCVK1JL</t>
        </is>
      </c>
      <c r="S42" s="3" t="n">
        <v>233</v>
      </c>
      <c r="T42" s="5">
        <f>IFERROR(S42/F42,"")</f>
        <v>1.0</v>
      </c>
      <c r="U42" s="3" t="n">
        <v>7869181</v>
      </c>
      <c r="V42" s="3" t="n">
        <v>58619</v>
      </c>
      <c r="W42" s="3" t="n">
        <v>2222</v>
      </c>
      <c r="X42" s="6">
        <f>IFERROR(IF(ISNUMBER(P42),F42*P42,""),"")</f>
        <v>8.832051041471196</v>
      </c>
      <c r="Y42" s="2" t="inlineStr">
        <is>
          <t>购买基准计数少，先观察</t>
        </is>
      </c>
      <c r="Z42" s="2" t="inlineStr">
        <is>
          <t>核查词意图和主力ASIN；不凭比率判断购买优劣</t>
        </is>
      </c>
      <c r="AA42" s="3" t="n">
        <v>294</v>
      </c>
      <c r="AB42" s="3" t="n">
        <v>24</v>
      </c>
    </row>
    <row r="43">
      <c r="A43" s="3" t="n">
        <v>42</v>
      </c>
      <c r="B43" s="4" t="inlineStr">
        <is>
          <t>breastmilk pitcher</t>
        </is>
      </c>
      <c r="C43" s="3" t="n">
        <v>17506</v>
      </c>
      <c r="D43" s="3" t="n">
        <v>7</v>
      </c>
      <c r="E43" s="3" t="n">
        <v>11245</v>
      </c>
      <c r="F43" s="3" t="n">
        <v>222</v>
      </c>
      <c r="G43" s="5">
        <f>F43/47159</f>
        <v>0.004707478954176297</v>
      </c>
      <c r="H43" s="3" t="n">
        <v>34</v>
      </c>
      <c r="I43" s="3" t="n">
        <v>7</v>
      </c>
      <c r="J43" s="5">
        <f>I43/3778</f>
        <v>0.0018528321863419798</v>
      </c>
      <c r="K43" s="5">
        <f>IFERROR(IF(AND(ISNUMBER(F43),ISNUMBER(E43),E43&gt;0),F43/E43,""),"")</f>
        <v>0.01974210760337928</v>
      </c>
      <c r="L43" s="5">
        <f>IFERROR(IF(AND(ISNUMBER(V43),ISNUMBER(U43),U43&gt;0),V43/U43,""),"")</f>
        <v>0.0236231068483766</v>
      </c>
      <c r="M43" s="6">
        <f>IFERROR(IF(AND(ISNUMBER(K43),ISNUMBER(L43)),(K43-L43)*100,""),"")</f>
        <v>-0.3880999244997321</v>
      </c>
      <c r="N43" s="5">
        <f>IFERROR(IF(AND(ISNUMBER(H43),ISNUMBER(F43),F43&gt;0),H43/F43,""),"")</f>
        <v>0.15315315315315314</v>
      </c>
      <c r="O43" s="5">
        <f>IFERROR(IF(AND(ISNUMBER(I43),ISNUMBER(F43),F43&gt;0),I43/F43,""),"")</f>
        <v>0.03153153153153153</v>
      </c>
      <c r="P43" s="5">
        <f>IFERROR(IF(AND(ISNUMBER(W43),ISNUMBER(V43),V43&gt;0),W43/V43,""),"")</f>
        <v>0.08410150181253237</v>
      </c>
      <c r="Q43" s="6">
        <f>IFERROR(IF(AND(ISNUMBER(O43),ISNUMBER(P43)),(O43-P43)*100,""),"")</f>
        <v>-5.256997028100084</v>
      </c>
      <c r="R43" s="4" t="inlineStr">
        <is>
          <t>B0FVFF4CP9</t>
        </is>
      </c>
      <c r="S43" s="3" t="n">
        <v>197</v>
      </c>
      <c r="T43" s="5">
        <f>IFERROR(S43/F43,"")</f>
        <v>0.8873873873873874</v>
      </c>
      <c r="U43" s="3" t="n">
        <v>408710</v>
      </c>
      <c r="V43" s="3" t="n">
        <v>9655</v>
      </c>
      <c r="W43" s="3" t="n">
        <v>812</v>
      </c>
      <c r="X43" s="6">
        <f>IFERROR(IF(ISNUMBER(P43),F43*P43,""),"")</f>
        <v>18.670533402382187</v>
      </c>
      <c r="Y43" s="2" t="inlineStr">
        <is>
          <t>CTR及购买比均低于市场（描述）</t>
        </is>
      </c>
      <c r="Z43" s="2" t="inlineStr">
        <is>
          <t>先查词意图与主力ASIN，再核查商品和展示条件</t>
        </is>
      </c>
      <c r="AA43" s="3" t="n">
        <v>1024</v>
      </c>
      <c r="AB43" s="3" t="n">
        <v>76</v>
      </c>
    </row>
    <row r="44">
      <c r="A44" s="3" t="n">
        <v>43</v>
      </c>
      <c r="B44" s="4" t="inlineStr">
        <is>
          <t>kitchen gadgets best sellers 2026</t>
        </is>
      </c>
      <c r="C44" s="3" t="n">
        <v>54186</v>
      </c>
      <c r="D44" s="3" t="n">
        <v>1</v>
      </c>
      <c r="E44" s="3" t="n">
        <v>14718</v>
      </c>
      <c r="F44" s="3" t="n">
        <v>219</v>
      </c>
      <c r="G44" s="5">
        <f>F44/47159</f>
        <v>0.004643864373714455</v>
      </c>
      <c r="H44" s="3" t="n">
        <v>99</v>
      </c>
      <c r="I44" s="3" t="n">
        <v>6</v>
      </c>
      <c r="J44" s="5">
        <f>I44/3778</f>
        <v>0.0015881418740074113</v>
      </c>
      <c r="K44" s="5">
        <f>IFERROR(IF(AND(ISNUMBER(F44),ISNUMBER(E44),E44&gt;0),F44/E44,""),"")</f>
        <v>0.014879739094985732</v>
      </c>
      <c r="L44" s="5">
        <f>IFERROR(IF(AND(ISNUMBER(V44),ISNUMBER(U44),U44&gt;0),V44/U44,""),"")</f>
        <v>0.011491473544840926</v>
      </c>
      <c r="M44" s="6">
        <f>IFERROR(IF(AND(ISNUMBER(K44),ISNUMBER(L44)),(K44-L44)*100,""),"")</f>
        <v>0.3388265550144806</v>
      </c>
      <c r="N44" s="5">
        <f>IFERROR(IF(AND(ISNUMBER(H44),ISNUMBER(F44),F44&gt;0),H44/F44,""),"")</f>
        <v>0.4520547945205479</v>
      </c>
      <c r="O44" s="5">
        <f>IFERROR(IF(AND(ISNUMBER(I44),ISNUMBER(F44),F44&gt;0),I44/F44,""),"")</f>
        <v>0.0273972602739726</v>
      </c>
      <c r="P44" s="5">
        <f>IFERROR(IF(AND(ISNUMBER(W44),ISNUMBER(V44),V44&gt;0),W44/V44,""),"")</f>
        <v>0.0590197587888119</v>
      </c>
      <c r="Q44" s="6">
        <f>IFERROR(IF(AND(ISNUMBER(O44),ISNUMBER(P44)),(O44-P44)*100,""),"")</f>
        <v>-3.16224985148393</v>
      </c>
      <c r="R44" s="4" t="inlineStr">
        <is>
          <t>B0DGCVK1JL</t>
        </is>
      </c>
      <c r="S44" s="3" t="n">
        <v>219</v>
      </c>
      <c r="T44" s="5">
        <f>IFERROR(S44/F44,"")</f>
        <v>1.0</v>
      </c>
      <c r="U44" s="3" t="n">
        <v>1356484</v>
      </c>
      <c r="V44" s="3" t="n">
        <v>15588</v>
      </c>
      <c r="W44" s="3" t="n">
        <v>920</v>
      </c>
      <c r="X44" s="6">
        <f>IFERROR(IF(ISNUMBER(P44),F44*P44,""),"")</f>
        <v>12.925327174749807</v>
      </c>
      <c r="Y44" s="2" t="inlineStr">
        <is>
          <t>CTR不低，购买比低于市场（描述）</t>
        </is>
      </c>
      <c r="Z44" s="2" t="inlineStr">
        <is>
          <t>查主力ASIN规格、功能、价格、库存及页面；原因待验证</t>
        </is>
      </c>
      <c r="AA44" s="3" t="n">
        <v>320</v>
      </c>
      <c r="AB44" s="3" t="n">
        <v>61</v>
      </c>
    </row>
    <row r="45">
      <c r="A45" s="3" t="n">
        <v>44</v>
      </c>
      <c r="B45" s="4" t="inlineStr">
        <is>
          <t>mason jar pitcher lid</t>
        </is>
      </c>
      <c r="C45" s="3" t="n">
        <v>5947</v>
      </c>
      <c r="D45" s="3" t="n">
        <v>6</v>
      </c>
      <c r="E45" s="3" t="n">
        <v>8893</v>
      </c>
      <c r="F45" s="3" t="n">
        <v>217</v>
      </c>
      <c r="G45" s="5">
        <f>F45/47159</f>
        <v>0.004601454653406561</v>
      </c>
      <c r="H45" s="3" t="n">
        <v>61</v>
      </c>
      <c r="I45" s="3" t="n">
        <v>13</v>
      </c>
      <c r="J45" s="5">
        <f>I45/3778</f>
        <v>0.003440974060349391</v>
      </c>
      <c r="K45" s="5">
        <f>IFERROR(IF(AND(ISNUMBER(F45),ISNUMBER(E45),E45&gt;0),F45/E45,""),"")</f>
        <v>0.024401214438322275</v>
      </c>
      <c r="L45" s="5">
        <f>IFERROR(IF(AND(ISNUMBER(V45),ISNUMBER(U45),U45&gt;0),V45/U45,""),"")</f>
        <v>0.0211141766614727</v>
      </c>
      <c r="M45" s="6">
        <f>IFERROR(IF(AND(ISNUMBER(K45),ISNUMBER(L45)),(K45-L45)*100,""),"")</f>
        <v>0.3287037776849574</v>
      </c>
      <c r="N45" s="5">
        <f>IFERROR(IF(AND(ISNUMBER(H45),ISNUMBER(F45),F45&gt;0),H45/F45,""),"")</f>
        <v>0.28110599078341014</v>
      </c>
      <c r="O45" s="5">
        <f>IFERROR(IF(AND(ISNUMBER(I45),ISNUMBER(F45),F45&gt;0),I45/F45,""),"")</f>
        <v>0.059907834101382486</v>
      </c>
      <c r="P45" s="5">
        <f>IFERROR(IF(AND(ISNUMBER(W45),ISNUMBER(V45),V45&gt;0),W45/V45,""),"")</f>
        <v>0.12288422477995938</v>
      </c>
      <c r="Q45" s="6">
        <f>IFERROR(IF(AND(ISNUMBER(O45),ISNUMBER(P45)),(O45-P45)*100,""),"")</f>
        <v>-6.297639067857689</v>
      </c>
      <c r="R45" s="4" t="inlineStr">
        <is>
          <t>B0DGCVK1JL</t>
        </is>
      </c>
      <c r="S45" s="3" t="n">
        <v>182</v>
      </c>
      <c r="T45" s="5">
        <f>IFERROR(S45/F45,"")</f>
        <v>0.8387096774193549</v>
      </c>
      <c r="U45" s="3" t="n">
        <v>139906</v>
      </c>
      <c r="V45" s="3" t="n">
        <v>2954</v>
      </c>
      <c r="W45" s="3" t="n">
        <v>363</v>
      </c>
      <c r="X45" s="6">
        <f>IFERROR(IF(ISNUMBER(P45),F45*P45,""),"")</f>
        <v>26.665876777251185</v>
      </c>
      <c r="Y45" s="2" t="inlineStr">
        <is>
          <t>CTR不低，购买比低于市场（描述）</t>
        </is>
      </c>
      <c r="Z45" s="2" t="inlineStr">
        <is>
          <t>查主力ASIN规格、功能、价格、库存及页面；原因待验证</t>
        </is>
      </c>
      <c r="AA45" s="3" t="n">
        <v>265</v>
      </c>
      <c r="AB45" s="3" t="n">
        <v>91</v>
      </c>
    </row>
    <row r="46">
      <c r="A46" s="3" t="n">
        <v>45</v>
      </c>
      <c r="B46" s="4" t="inlineStr">
        <is>
          <t>drink dispenser</t>
        </is>
      </c>
      <c r="C46" s="3" t="n">
        <v>67528</v>
      </c>
      <c r="D46" s="3" t="n">
        <v>5</v>
      </c>
      <c r="E46" s="3" t="n">
        <v>25653</v>
      </c>
      <c r="F46" s="3" t="n">
        <v>214</v>
      </c>
      <c r="G46" s="5">
        <f>F46/47159</f>
        <v>0.004537840072944719</v>
      </c>
      <c r="H46" s="3" t="n">
        <v>68</v>
      </c>
      <c r="I46" s="3" t="n">
        <v>5</v>
      </c>
      <c r="J46" s="5">
        <f>I46/3778</f>
        <v>0.0013234515616728428</v>
      </c>
      <c r="K46" s="5">
        <f>IFERROR(IF(AND(ISNUMBER(F46),ISNUMBER(E46),E46&gt;0),F46/E46,""),"")</f>
        <v>0.008342104237321171</v>
      </c>
      <c r="L46" s="5">
        <f>IFERROR(IF(AND(ISNUMBER(V46),ISNUMBER(U46),U46&gt;0),V46/U46,""),"")</f>
        <v>0.010930018507648975</v>
      </c>
      <c r="M46" s="6">
        <f>IFERROR(IF(AND(ISNUMBER(K46),ISNUMBER(L46)),(K46-L46)*100,""),"")</f>
        <v>-0.25879142703278035</v>
      </c>
      <c r="N46" s="5">
        <f>IFERROR(IF(AND(ISNUMBER(H46),ISNUMBER(F46),F46&gt;0),H46/F46,""),"")</f>
        <v>0.3177570093457944</v>
      </c>
      <c r="O46" s="5">
        <f>IFERROR(IF(AND(ISNUMBER(I46),ISNUMBER(F46),F46&gt;0),I46/F46,""),"")</f>
        <v>0.02336448598130841</v>
      </c>
      <c r="P46" s="5">
        <f>IFERROR(IF(AND(ISNUMBER(W46),ISNUMBER(V46),V46&gt;0),W46/V46,""),"")</f>
        <v>0.08091048201989288</v>
      </c>
      <c r="Q46" s="6">
        <f>IFERROR(IF(AND(ISNUMBER(O46),ISNUMBER(P46)),(O46-P46)*100,""),"")</f>
        <v>-5.7545996038584475</v>
      </c>
      <c r="R46" s="4" t="inlineStr">
        <is>
          <t>B0DGCVK1JL</t>
        </is>
      </c>
      <c r="S46" s="3" t="n">
        <v>114</v>
      </c>
      <c r="T46" s="5">
        <f>IFERROR(S46/F46,"")</f>
        <v>0.5327102803738317</v>
      </c>
      <c r="U46" s="3" t="n">
        <v>1913263</v>
      </c>
      <c r="V46" s="3" t="n">
        <v>20912</v>
      </c>
      <c r="W46" s="3" t="n">
        <v>1692</v>
      </c>
      <c r="X46" s="6">
        <f>IFERROR(IF(ISNUMBER(P46),F46*P46,""),"")</f>
        <v>17.314843152257076</v>
      </c>
      <c r="Y46" s="2" t="inlineStr">
        <is>
          <t>CTR及购买比均低于市场（描述）</t>
        </is>
      </c>
      <c r="Z46" s="2" t="inlineStr">
        <is>
          <t>先查词意图与主力ASIN，再核查商品和展示条件</t>
        </is>
      </c>
      <c r="AA46" s="3" t="n">
        <v>287</v>
      </c>
      <c r="AB46" s="3" t="n">
        <v>32</v>
      </c>
    </row>
    <row r="47">
      <c r="A47" s="3" t="n">
        <v>46</v>
      </c>
      <c r="B47" s="4" t="inlineStr">
        <is>
          <t>cookie jar</t>
        </is>
      </c>
      <c r="C47" s="3" t="n">
        <v>93549</v>
      </c>
      <c r="D47" s="3" t="n">
        <v>4</v>
      </c>
      <c r="E47" s="3" t="n">
        <v>29310</v>
      </c>
      <c r="F47" s="3" t="n">
        <v>213</v>
      </c>
      <c r="G47" s="5">
        <f>F47/47159</f>
        <v>0.004516635212790772</v>
      </c>
      <c r="H47" s="3" t="n">
        <v>96</v>
      </c>
      <c r="I47" s="3" t="n">
        <v>4</v>
      </c>
      <c r="J47" s="5">
        <f>I47/3778</f>
        <v>0.0010587612493382743</v>
      </c>
      <c r="K47" s="5">
        <f>IFERROR(IF(AND(ISNUMBER(F47),ISNUMBER(E47),E47&gt;0),F47/E47,""),"")</f>
        <v>0.007267144319344934</v>
      </c>
      <c r="L47" s="5">
        <f>IFERROR(IF(AND(ISNUMBER(V47),ISNUMBER(U47),U47&gt;0),V47/U47,""),"")</f>
        <v>0.009889067421405178</v>
      </c>
      <c r="M47" s="6">
        <f>IFERROR(IF(AND(ISNUMBER(K47),ISNUMBER(L47)),(K47-L47)*100,""),"")</f>
        <v>-0.2621923102060244</v>
      </c>
      <c r="N47" s="5">
        <f>IFERROR(IF(AND(ISNUMBER(H47),ISNUMBER(F47),F47&gt;0),H47/F47,""),"")</f>
        <v>0.4507042253521127</v>
      </c>
      <c r="O47" s="5">
        <f>IFERROR(IF(AND(ISNUMBER(I47),ISNUMBER(F47),F47&gt;0),I47/F47,""),"")</f>
        <v>0.018779342723004695</v>
      </c>
      <c r="P47" s="5">
        <f>IFERROR(IF(AND(ISNUMBER(W47),ISNUMBER(V47),V47&gt;0),W47/V47,""),"")</f>
        <v>0.04217454900048757</v>
      </c>
      <c r="Q47" s="6">
        <f>IFERROR(IF(AND(ISNUMBER(O47),ISNUMBER(P47)),(O47-P47)*100,""),"")</f>
        <v>-2.3395206277482874</v>
      </c>
      <c r="R47" s="4" t="inlineStr">
        <is>
          <t>B0DGCVK1JL</t>
        </is>
      </c>
      <c r="S47" s="3" t="n">
        <v>189</v>
      </c>
      <c r="T47" s="5">
        <f>IFERROR(S47/F47,"")</f>
        <v>0.8873239436619719</v>
      </c>
      <c r="U47" s="3" t="n">
        <v>2488809</v>
      </c>
      <c r="V47" s="3" t="n">
        <v>24612</v>
      </c>
      <c r="W47" s="3" t="n">
        <v>1038</v>
      </c>
      <c r="X47" s="6">
        <f>IFERROR(IF(ISNUMBER(P47),F47*P47,""),"")</f>
        <v>8.983178937103851</v>
      </c>
      <c r="Y47" s="2" t="inlineStr">
        <is>
          <t>购买基准计数少，先观察</t>
        </is>
      </c>
      <c r="Z47" s="2" t="inlineStr">
        <is>
          <t>核查词意图和主力ASIN；不凭比率判断购买优劣</t>
        </is>
      </c>
      <c r="AA47" s="3" t="n">
        <v>124</v>
      </c>
      <c r="AB47" s="3" t="n">
        <v>27</v>
      </c>
    </row>
    <row r="48">
      <c r="A48" s="3" t="n">
        <v>47</v>
      </c>
      <c r="B48" s="4" t="inlineStr">
        <is>
          <t>rustic farmhouse decor</t>
        </is>
      </c>
      <c r="C48" s="3" t="n">
        <v>60628</v>
      </c>
      <c r="D48" s="3" t="n">
        <v>1</v>
      </c>
      <c r="E48" s="3" t="n">
        <v>17518</v>
      </c>
      <c r="F48" s="3" t="n">
        <v>212</v>
      </c>
      <c r="G48" s="5">
        <f>F48/47159</f>
        <v>0.004495430352636824</v>
      </c>
      <c r="H48" s="3" t="n">
        <v>115</v>
      </c>
      <c r="I48" s="3" t="n">
        <v>7</v>
      </c>
      <c r="J48" s="5">
        <f>I48/3778</f>
        <v>0.0018528321863419798</v>
      </c>
      <c r="K48" s="5">
        <f>IFERROR(IF(AND(ISNUMBER(F48),ISNUMBER(E48),E48&gt;0),F48/E48,""),"")</f>
        <v>0.012101838109373216</v>
      </c>
      <c r="L48" s="5">
        <f>IFERROR(IF(AND(ISNUMBER(V48),ISNUMBER(U48),U48&gt;0),V48/U48,""),"")</f>
        <v>0.012816696476916089</v>
      </c>
      <c r="M48" s="6">
        <f>IFERROR(IF(AND(ISNUMBER(K48),ISNUMBER(L48)),(K48-L48)*100,""),"")</f>
        <v>-0.07148583675428734</v>
      </c>
      <c r="N48" s="5">
        <f>IFERROR(IF(AND(ISNUMBER(H48),ISNUMBER(F48),F48&gt;0),H48/F48,""),"")</f>
        <v>0.5424528301886793</v>
      </c>
      <c r="O48" s="5">
        <f>IFERROR(IF(AND(ISNUMBER(I48),ISNUMBER(F48),F48&gt;0),I48/F48,""),"")</f>
        <v>0.0330188679245283</v>
      </c>
      <c r="P48" s="5">
        <f>IFERROR(IF(AND(ISNUMBER(W48),ISNUMBER(V48),V48&gt;0),W48/V48,""),"")</f>
        <v>0.018670537591350487</v>
      </c>
      <c r="Q48" s="6">
        <f>IFERROR(IF(AND(ISNUMBER(O48),ISNUMBER(P48)),(O48-P48)*100,""),"")</f>
        <v>1.4348330333177814</v>
      </c>
      <c r="R48" s="4" t="inlineStr">
        <is>
          <t>B0DGCVK1JL</t>
        </is>
      </c>
      <c r="S48" s="3" t="n">
        <v>212</v>
      </c>
      <c r="T48" s="5">
        <f>IFERROR(S48/F48,"")</f>
        <v>1.0</v>
      </c>
      <c r="U48" s="3" t="n">
        <v>1558748</v>
      </c>
      <c r="V48" s="3" t="n">
        <v>19978</v>
      </c>
      <c r="W48" s="3" t="n">
        <v>373</v>
      </c>
      <c r="X48" s="6">
        <f>IFERROR(IF(ISNUMBER(P48),F48*P48,""),"")</f>
        <v>3.958153969366303</v>
      </c>
      <c r="Y48" s="2" t="inlineStr">
        <is>
          <t>购买基准计数少，先观察</t>
        </is>
      </c>
      <c r="Z48" s="2" t="inlineStr">
        <is>
          <t>核查词意图和主力ASIN；不凭比率判断购买优劣</t>
        </is>
      </c>
      <c r="AA48" s="3" t="n">
        <v>278</v>
      </c>
      <c r="AB48" s="3" t="n">
        <v>49</v>
      </c>
    </row>
    <row r="49">
      <c r="A49" s="3" t="n">
        <v>48</v>
      </c>
      <c r="B49" s="4" t="inlineStr">
        <is>
          <t>drink dispensers for parties</t>
        </is>
      </c>
      <c r="C49" s="3" t="n">
        <v>102960</v>
      </c>
      <c r="D49" s="3" t="n">
        <v>5</v>
      </c>
      <c r="E49" s="3" t="n">
        <v>30609</v>
      </c>
      <c r="F49" s="3" t="n">
        <v>210</v>
      </c>
      <c r="G49" s="5">
        <f>F49/47159</f>
        <v>0.00445302063232893</v>
      </c>
      <c r="H49" s="3" t="n">
        <v>67</v>
      </c>
      <c r="I49" s="3" t="n">
        <v>9</v>
      </c>
      <c r="J49" s="5">
        <f>I49/3778</f>
        <v>0.002382212811011117</v>
      </c>
      <c r="K49" s="5">
        <f>IFERROR(IF(AND(ISNUMBER(F49),ISNUMBER(E49),E49&gt;0),F49/E49,""),"")</f>
        <v>0.006860727237087132</v>
      </c>
      <c r="L49" s="5">
        <f>IFERROR(IF(AND(ISNUMBER(V49),ISNUMBER(U49),U49&gt;0),V49/U49,""),"")</f>
        <v>0.01382216404912257</v>
      </c>
      <c r="M49" s="6">
        <f>IFERROR(IF(AND(ISNUMBER(K49),ISNUMBER(L49)),(K49-L49)*100,""),"")</f>
        <v>-0.6961436812035439</v>
      </c>
      <c r="N49" s="5">
        <f>IFERROR(IF(AND(ISNUMBER(H49),ISNUMBER(F49),F49&gt;0),H49/F49,""),"")</f>
        <v>0.319047619047619</v>
      </c>
      <c r="O49" s="5">
        <f>IFERROR(IF(AND(ISNUMBER(I49),ISNUMBER(F49),F49&gt;0),I49/F49,""),"")</f>
        <v>0.04285714285714286</v>
      </c>
      <c r="P49" s="5">
        <f>IFERROR(IF(AND(ISNUMBER(W49),ISNUMBER(V49),V49&gt;0),W49/V49,""),"")</f>
        <v>0.08114081806561568</v>
      </c>
      <c r="Q49" s="6">
        <f>IFERROR(IF(AND(ISNUMBER(O49),ISNUMBER(P49)),(O49-P49)*100,""),"")</f>
        <v>-3.8283675208472827</v>
      </c>
      <c r="R49" s="4" t="inlineStr">
        <is>
          <t>B0DGCVK1JL</t>
        </is>
      </c>
      <c r="S49" s="3" t="n">
        <v>102</v>
      </c>
      <c r="T49" s="5">
        <f>IFERROR(S49/F49,"")</f>
        <v>0.4857142857142857</v>
      </c>
      <c r="U49" s="3" t="n">
        <v>2716796</v>
      </c>
      <c r="V49" s="3" t="n">
        <v>37552</v>
      </c>
      <c r="W49" s="3" t="n">
        <v>3047</v>
      </c>
      <c r="X49" s="6">
        <f>IFERROR(IF(ISNUMBER(P49),F49*P49,""),"")</f>
        <v>17.039571793779295</v>
      </c>
      <c r="Y49" s="2" t="inlineStr">
        <is>
          <t>CTR及购买比均低于市场（描述）</t>
        </is>
      </c>
      <c r="Z49" s="2" t="inlineStr">
        <is>
          <t>先查词意图与主力ASIN，再核查商品和展示条件</t>
        </is>
      </c>
      <c r="AA49" s="3" t="n">
        <v>253</v>
      </c>
      <c r="AB49" s="3" t="n">
        <v>25</v>
      </c>
    </row>
    <row r="50">
      <c r="A50" s="3" t="n">
        <v>49</v>
      </c>
      <c r="B50" s="4" t="inlineStr">
        <is>
          <t>glass water bottle</t>
        </is>
      </c>
      <c r="C50" s="3" t="n">
        <v>41685</v>
      </c>
      <c r="D50" s="3" t="n">
        <v>1</v>
      </c>
      <c r="E50" s="3" t="n">
        <v>24251</v>
      </c>
      <c r="F50" s="3" t="n">
        <v>208</v>
      </c>
      <c r="G50" s="5">
        <f>F50/47159</f>
        <v>0.004410610912021036</v>
      </c>
      <c r="H50" s="3" t="n">
        <v>51</v>
      </c>
      <c r="I50" s="3" t="n">
        <v>5</v>
      </c>
      <c r="J50" s="5">
        <f>I50/3778</f>
        <v>0.0013234515616728428</v>
      </c>
      <c r="K50" s="5">
        <f>IFERROR(IF(AND(ISNUMBER(F50),ISNUMBER(E50),E50&gt;0),F50/E50,""),"")</f>
        <v>0.008576965898313471</v>
      </c>
      <c r="L50" s="5">
        <f>IFERROR(IF(AND(ISNUMBER(V50),ISNUMBER(U50),U50&gt;0),V50/U50,""),"")</f>
        <v>0.014903577332000081</v>
      </c>
      <c r="M50" s="6">
        <f>IFERROR(IF(AND(ISNUMBER(K50),ISNUMBER(L50)),(K50-L50)*100,""),"")</f>
        <v>-0.6326611433686611</v>
      </c>
      <c r="N50" s="5">
        <f>IFERROR(IF(AND(ISNUMBER(H50),ISNUMBER(F50),F50&gt;0),H50/F50,""),"")</f>
        <v>0.24519230769230768</v>
      </c>
      <c r="O50" s="5">
        <f>IFERROR(IF(AND(ISNUMBER(I50),ISNUMBER(F50),F50&gt;0),I50/F50,""),"")</f>
        <v>0.02403846153846154</v>
      </c>
      <c r="P50" s="5">
        <f>IFERROR(IF(AND(ISNUMBER(W50),ISNUMBER(V50),V50&gt;0),W50/V50,""),"")</f>
        <v>0.05739949611129368</v>
      </c>
      <c r="Q50" s="6">
        <f>IFERROR(IF(AND(ISNUMBER(O50),ISNUMBER(P50)),(O50-P50)*100,""),"")</f>
        <v>-3.336103457283214</v>
      </c>
      <c r="R50" s="4" t="inlineStr">
        <is>
          <t>B0DGCVK1JL</t>
        </is>
      </c>
      <c r="S50" s="3" t="n">
        <v>208</v>
      </c>
      <c r="T50" s="5">
        <f>IFERROR(S50/F50,"")</f>
        <v>1.0</v>
      </c>
      <c r="U50" s="3" t="n">
        <v>1225075</v>
      </c>
      <c r="V50" s="3" t="n">
        <v>18258</v>
      </c>
      <c r="W50" s="3" t="n">
        <v>1048</v>
      </c>
      <c r="X50" s="6">
        <f>IFERROR(IF(ISNUMBER(P50),F50*P50,""),"")</f>
        <v>11.939095191149084</v>
      </c>
      <c r="Y50" s="2" t="inlineStr">
        <is>
          <t>CTR及购买比均低于市场（描述）</t>
        </is>
      </c>
      <c r="Z50" s="2" t="inlineStr">
        <is>
          <t>先查词意图与主力ASIN，再核查商品和展示条件</t>
        </is>
      </c>
      <c r="AA50" s="3" t="n">
        <v>305</v>
      </c>
      <c r="AB50" s="3" t="n">
        <v>35</v>
      </c>
    </row>
    <row r="51">
      <c r="A51" s="3" t="n">
        <v>50</v>
      </c>
      <c r="B51" s="4" t="inlineStr">
        <is>
          <t>64 oz pitcher</t>
        </is>
      </c>
      <c r="C51" s="3" t="n">
        <v>4568</v>
      </c>
      <c r="D51" s="3" t="n">
        <v>3</v>
      </c>
      <c r="E51" s="3" t="n">
        <v>7883</v>
      </c>
      <c r="F51" s="3" t="n">
        <v>202</v>
      </c>
      <c r="G51" s="5">
        <f>F51/47159</f>
        <v>0.004283381751097351</v>
      </c>
      <c r="H51" s="3" t="n">
        <v>67</v>
      </c>
      <c r="I51" s="3" t="n">
        <v>22</v>
      </c>
      <c r="J51" s="5">
        <f>I51/3778</f>
        <v>0.005823186871360508</v>
      </c>
      <c r="K51" s="5">
        <f>IFERROR(IF(AND(ISNUMBER(F51),ISNUMBER(E51),E51&gt;0),F51/E51,""),"")</f>
        <v>0.025624762146390968</v>
      </c>
      <c r="L51" s="5">
        <f>IFERROR(IF(AND(ISNUMBER(V51),ISNUMBER(U51),U51&gt;0),V51/U51,""),"")</f>
        <v>0.017989288196573857</v>
      </c>
      <c r="M51" s="6">
        <f>IFERROR(IF(AND(ISNUMBER(K51),ISNUMBER(L51)),(K51-L51)*100,""),"")</f>
        <v>0.7635473949817111</v>
      </c>
      <c r="N51" s="5">
        <f>IFERROR(IF(AND(ISNUMBER(H51),ISNUMBER(F51),F51&gt;0),H51/F51,""),"")</f>
        <v>0.3316831683168317</v>
      </c>
      <c r="O51" s="5">
        <f>IFERROR(IF(AND(ISNUMBER(I51),ISNUMBER(F51),F51&gt;0),I51/F51,""),"")</f>
        <v>0.10891089108910891</v>
      </c>
      <c r="P51" s="5">
        <f>IFERROR(IF(AND(ISNUMBER(W51),ISNUMBER(V51),V51&gt;0),W51/V51,""),"")</f>
        <v>0.15045454545454545</v>
      </c>
      <c r="Q51" s="6">
        <f>IFERROR(IF(AND(ISNUMBER(O51),ISNUMBER(P51)),(O51-P51)*100,""),"")</f>
        <v>-4.154365436543654</v>
      </c>
      <c r="R51" s="4" t="inlineStr">
        <is>
          <t>B0DGCVK1JL</t>
        </is>
      </c>
      <c r="S51" s="3" t="n">
        <v>193</v>
      </c>
      <c r="T51" s="5">
        <f>IFERROR(S51/F51,"")</f>
        <v>0.9554455445544554</v>
      </c>
      <c r="U51" s="3" t="n">
        <v>122295</v>
      </c>
      <c r="V51" s="3" t="n">
        <v>2200</v>
      </c>
      <c r="W51" s="3" t="n">
        <v>331</v>
      </c>
      <c r="X51" s="6">
        <f>IFERROR(IF(ISNUMBER(P51),F51*P51,""),"")</f>
        <v>30.39181818181818</v>
      </c>
      <c r="Y51" s="2" t="inlineStr">
        <is>
          <t>CTR不低，购买比低于市场（描述）</t>
        </is>
      </c>
      <c r="Z51" s="2" t="inlineStr">
        <is>
          <t>查主力ASIN规格、功能、价格、库存及页面；原因待验证</t>
        </is>
      </c>
      <c r="AA51" s="3" t="n">
        <v>312</v>
      </c>
      <c r="AB51" s="3" t="n">
        <v>96</v>
      </c>
    </row>
    <row r="52">
      <c r="A52" s="3" t="n">
        <v>51</v>
      </c>
      <c r="B52" s="4" t="inlineStr">
        <is>
          <t>house warming gifts new home</t>
        </is>
      </c>
      <c r="C52" s="3" t="n">
        <v>283088</v>
      </c>
      <c r="D52" s="3" t="n">
        <v>1</v>
      </c>
      <c r="E52" s="3" t="n">
        <v>13839</v>
      </c>
      <c r="F52" s="3" t="n">
        <v>202</v>
      </c>
      <c r="G52" s="5">
        <f>F52/47159</f>
        <v>0.004283381751097351</v>
      </c>
      <c r="H52" s="3" t="n">
        <v>84</v>
      </c>
      <c r="I52" s="3" t="n">
        <v>6</v>
      </c>
      <c r="J52" s="5">
        <f>I52/3778</f>
        <v>0.0015881418740074113</v>
      </c>
      <c r="K52" s="5">
        <f>IFERROR(IF(AND(ISNUMBER(F52),ISNUMBER(E52),E52&gt;0),F52/E52,""),"")</f>
        <v>0.014596430377917479</v>
      </c>
      <c r="L52" s="5">
        <f>IFERROR(IF(AND(ISNUMBER(V52),ISNUMBER(U52),U52&gt;0),V52/U52,""),"")</f>
        <v>0.012120252267230642</v>
      </c>
      <c r="M52" s="6">
        <f>IFERROR(IF(AND(ISNUMBER(K52),ISNUMBER(L52)),(K52-L52)*100,""),"")</f>
        <v>0.24761781106868372</v>
      </c>
      <c r="N52" s="5">
        <f>IFERROR(IF(AND(ISNUMBER(H52),ISNUMBER(F52),F52&gt;0),H52/F52,""),"")</f>
        <v>0.4158415841584158</v>
      </c>
      <c r="O52" s="5">
        <f>IFERROR(IF(AND(ISNUMBER(I52),ISNUMBER(F52),F52&gt;0),I52/F52,""),"")</f>
        <v>0.0297029702970297</v>
      </c>
      <c r="P52" s="5">
        <f>IFERROR(IF(AND(ISNUMBER(W52),ISNUMBER(V52),V52&gt;0),W52/V52,""),"")</f>
        <v>0.06199144079885877</v>
      </c>
      <c r="Q52" s="6">
        <f>IFERROR(IF(AND(ISNUMBER(O52),ISNUMBER(P52)),(O52-P52)*100,""),"")</f>
        <v>-3.228847050182907</v>
      </c>
      <c r="R52" s="4" t="inlineStr">
        <is>
          <t>B0DGCVK1JL</t>
        </is>
      </c>
      <c r="S52" s="3" t="n">
        <v>202</v>
      </c>
      <c r="T52" s="5">
        <f>IFERROR(S52/F52,"")</f>
        <v>1.0</v>
      </c>
      <c r="U52" s="3" t="n">
        <v>7229635</v>
      </c>
      <c r="V52" s="3" t="n">
        <v>87625</v>
      </c>
      <c r="W52" s="3" t="n">
        <v>5432</v>
      </c>
      <c r="X52" s="6">
        <f>IFERROR(IF(ISNUMBER(P52),F52*P52,""),"")</f>
        <v>12.522271041369471</v>
      </c>
      <c r="Y52" s="2" t="inlineStr">
        <is>
          <t>CTR不低，购买比低于市场（描述）</t>
        </is>
      </c>
      <c r="Z52" s="2" t="inlineStr">
        <is>
          <t>查主力ASIN规格、功能、价格、库存及页面；原因待验证</t>
        </is>
      </c>
      <c r="AA52" s="3" t="n">
        <v>339</v>
      </c>
      <c r="AB52" s="3" t="n">
        <v>63</v>
      </c>
    </row>
    <row r="53">
      <c r="A53" s="3" t="n">
        <v>52</v>
      </c>
      <c r="B53" s="4" t="inlineStr">
        <is>
          <t>pyrex</t>
        </is>
      </c>
      <c r="C53" s="3" t="n">
        <v>66341</v>
      </c>
      <c r="D53" s="3" t="n">
        <v>6</v>
      </c>
      <c r="E53" s="3" t="n">
        <v>12012</v>
      </c>
      <c r="F53" s="3" t="n">
        <v>195</v>
      </c>
      <c r="G53" s="5">
        <f>F53/47159</f>
        <v>0.004134947730019721</v>
      </c>
      <c r="H53" s="3" t="n">
        <v>82</v>
      </c>
      <c r="I53" s="3" t="n">
        <v>4</v>
      </c>
      <c r="J53" s="5">
        <f>I53/3778</f>
        <v>0.0010587612493382743</v>
      </c>
      <c r="K53" s="5">
        <f>IFERROR(IF(AND(ISNUMBER(F53),ISNUMBER(E53),E53&gt;0),F53/E53,""),"")</f>
        <v>0.016233766233766232</v>
      </c>
      <c r="L53" s="5">
        <f>IFERROR(IF(AND(ISNUMBER(V53),ISNUMBER(U53),U53&gt;0),V53/U53,""),"")</f>
        <v>0.011479128024351267</v>
      </c>
      <c r="M53" s="6">
        <f>IFERROR(IF(AND(ISNUMBER(K53),ISNUMBER(L53)),(K53-L53)*100,""),"")</f>
        <v>0.4754638209414965</v>
      </c>
      <c r="N53" s="5">
        <f>IFERROR(IF(AND(ISNUMBER(H53),ISNUMBER(F53),F53&gt;0),H53/F53,""),"")</f>
        <v>0.4205128205128205</v>
      </c>
      <c r="O53" s="5">
        <f>IFERROR(IF(AND(ISNUMBER(I53),ISNUMBER(F53),F53&gt;0),I53/F53,""),"")</f>
        <v>0.020512820512820513</v>
      </c>
      <c r="P53" s="5">
        <f>IFERROR(IF(AND(ISNUMBER(W53),ISNUMBER(V53),V53&gt;0),W53/V53,""),"")</f>
        <v>0.07045166141843305</v>
      </c>
      <c r="Q53" s="6">
        <f>IFERROR(IF(AND(ISNUMBER(O53),ISNUMBER(P53)),(O53-P53)*100,""),"")</f>
        <v>-4.993884090561254</v>
      </c>
      <c r="R53" s="4" t="inlineStr">
        <is>
          <t>B0DGCVK1JL</t>
        </is>
      </c>
      <c r="S53" s="3" t="n">
        <v>131</v>
      </c>
      <c r="T53" s="5">
        <f>IFERROR(S53/F53,"")</f>
        <v>0.6717948717948717</v>
      </c>
      <c r="U53" s="3" t="n">
        <v>1853538</v>
      </c>
      <c r="V53" s="3" t="n">
        <v>21277</v>
      </c>
      <c r="W53" s="3" t="n">
        <v>1499</v>
      </c>
      <c r="X53" s="6">
        <f>IFERROR(IF(ISNUMBER(P53),F53*P53,""),"")</f>
        <v>13.738073976594444</v>
      </c>
      <c r="Y53" s="2" t="inlineStr">
        <is>
          <t>CTR不低，购买比低于市场（描述）</t>
        </is>
      </c>
      <c r="Z53" s="2" t="inlineStr">
        <is>
          <t>查主力ASIN规格、功能、价格、库存及页面；原因待验证</t>
        </is>
      </c>
      <c r="AA53" s="3" t="n">
        <v>259</v>
      </c>
      <c r="AB53" s="3" t="n">
        <v>69</v>
      </c>
    </row>
    <row r="54">
      <c r="A54" s="3" t="n">
        <v>53</v>
      </c>
      <c r="B54" s="4" t="inlineStr">
        <is>
          <t>glass drink dispenser</t>
        </is>
      </c>
      <c r="C54" s="3" t="n">
        <v>18007</v>
      </c>
      <c r="D54" s="3" t="n">
        <v>5</v>
      </c>
      <c r="E54" s="3" t="n">
        <v>18257</v>
      </c>
      <c r="F54" s="3" t="n">
        <v>192</v>
      </c>
      <c r="G54" s="5">
        <f>F54/47159</f>
        <v>0.004071333149557879</v>
      </c>
      <c r="H54" s="3" t="n">
        <v>63</v>
      </c>
      <c r="I54" s="3" t="n">
        <v>9</v>
      </c>
      <c r="J54" s="5">
        <f>I54/3778</f>
        <v>0.002382212811011117</v>
      </c>
      <c r="K54" s="5">
        <f>IFERROR(IF(AND(ISNUMBER(F54),ISNUMBER(E54),E54&gt;0),F54/E54,""),"")</f>
        <v>0.010516514213726243</v>
      </c>
      <c r="L54" s="5">
        <f>IFERROR(IF(AND(ISNUMBER(V54),ISNUMBER(U54),U54&gt;0),V54/U54,""),"")</f>
        <v>0.011783851576516412</v>
      </c>
      <c r="M54" s="6">
        <f>IFERROR(IF(AND(ISNUMBER(K54),ISNUMBER(L54)),(K54-L54)*100,""),"")</f>
        <v>-0.12673373627901696</v>
      </c>
      <c r="N54" s="5">
        <f>IFERROR(IF(AND(ISNUMBER(H54),ISNUMBER(F54),F54&gt;0),H54/F54,""),"")</f>
        <v>0.328125</v>
      </c>
      <c r="O54" s="5">
        <f>IFERROR(IF(AND(ISNUMBER(I54),ISNUMBER(F54),F54&gt;0),I54/F54,""),"")</f>
        <v>0.046875</v>
      </c>
      <c r="P54" s="5">
        <f>IFERROR(IF(AND(ISNUMBER(W54),ISNUMBER(V54),V54&gt;0),W54/V54,""),"")</f>
        <v>0.07282958199356913</v>
      </c>
      <c r="Q54" s="6">
        <f>IFERROR(IF(AND(ISNUMBER(O54),ISNUMBER(P54)),(O54-P54)*100,""),"")</f>
        <v>-2.5954581993569135</v>
      </c>
      <c r="R54" s="4" t="inlineStr">
        <is>
          <t>B0DGCVK1JL</t>
        </is>
      </c>
      <c r="S54" s="3" t="n">
        <v>134</v>
      </c>
      <c r="T54" s="5">
        <f>IFERROR(S54/F54,"")</f>
        <v>0.6979166666666666</v>
      </c>
      <c r="U54" s="3" t="n">
        <v>527841</v>
      </c>
      <c r="V54" s="3" t="n">
        <v>6220</v>
      </c>
      <c r="W54" s="3" t="n">
        <v>453</v>
      </c>
      <c r="X54" s="6">
        <f>IFERROR(IF(ISNUMBER(P54),F54*P54,""),"")</f>
        <v>13.983279742765273</v>
      </c>
      <c r="Y54" s="2" t="inlineStr">
        <is>
          <t>CTR及购买比均低于市场（描述）</t>
        </is>
      </c>
      <c r="Z54" s="2" t="inlineStr">
        <is>
          <t>先查词意图与主力ASIN，再核查商品和展示条件</t>
        </is>
      </c>
      <c r="AA54" s="3" t="n">
        <v>345</v>
      </c>
      <c r="AB54" s="3" t="n">
        <v>46</v>
      </c>
    </row>
    <row r="55">
      <c r="A55" s="3" t="n">
        <v>54</v>
      </c>
      <c r="B55" s="4" t="inlineStr">
        <is>
          <t>juice containers</t>
        </is>
      </c>
      <c r="C55" s="3" t="n">
        <v>21353</v>
      </c>
      <c r="D55" s="3" t="n">
        <v>2</v>
      </c>
      <c r="E55" s="3" t="n">
        <v>20677</v>
      </c>
      <c r="F55" s="3" t="n">
        <v>190</v>
      </c>
      <c r="G55" s="5">
        <f>F55/47159</f>
        <v>0.004028923429249984</v>
      </c>
      <c r="H55" s="3" t="n">
        <v>59</v>
      </c>
      <c r="I55" s="3" t="n">
        <v>17</v>
      </c>
      <c r="J55" s="5">
        <f>I55/3778</f>
        <v>0.004499735309687666</v>
      </c>
      <c r="K55" s="5">
        <f>IFERROR(IF(AND(ISNUMBER(F55),ISNUMBER(E55),E55&gt;0),F55/E55,""),"")</f>
        <v>0.009188953910141703</v>
      </c>
      <c r="L55" s="5">
        <f>IFERROR(IF(AND(ISNUMBER(V55),ISNUMBER(U55),U55&gt;0),V55/U55,""),"")</f>
        <v>0.014383928916930322</v>
      </c>
      <c r="M55" s="6">
        <f>IFERROR(IF(AND(ISNUMBER(K55),ISNUMBER(L55)),(K55-L55)*100,""),"")</f>
        <v>-0.5194975006788619</v>
      </c>
      <c r="N55" s="5">
        <f>IFERROR(IF(AND(ISNUMBER(H55),ISNUMBER(F55),F55&gt;0),H55/F55,""),"")</f>
        <v>0.3105263157894737</v>
      </c>
      <c r="O55" s="5">
        <f>IFERROR(IF(AND(ISNUMBER(I55),ISNUMBER(F55),F55&gt;0),I55/F55,""),"")</f>
        <v>0.08947368421052632</v>
      </c>
      <c r="P55" s="5">
        <f>IFERROR(IF(AND(ISNUMBER(W55),ISNUMBER(V55),V55&gt;0),W55/V55,""),"")</f>
        <v>0.09851396361772995</v>
      </c>
      <c r="Q55" s="6">
        <f>IFERROR(IF(AND(ISNUMBER(O55),ISNUMBER(P55)),(O55-P55)*100,""),"")</f>
        <v>-0.9040279407203631</v>
      </c>
      <c r="R55" s="4" t="inlineStr">
        <is>
          <t>B0DGCVK1JL</t>
        </is>
      </c>
      <c r="S55" s="3" t="n">
        <v>181</v>
      </c>
      <c r="T55" s="5">
        <f>IFERROR(S55/F55,"")</f>
        <v>0.9526315789473684</v>
      </c>
      <c r="U55" s="3" t="n">
        <v>542689</v>
      </c>
      <c r="V55" s="3" t="n">
        <v>7806</v>
      </c>
      <c r="W55" s="3" t="n">
        <v>769</v>
      </c>
      <c r="X55" s="6">
        <f>IFERROR(IF(ISNUMBER(P55),F55*P55,""),"")</f>
        <v>18.71765308736869</v>
      </c>
      <c r="Y55" s="2" t="inlineStr">
        <is>
          <t>CTR及购买比均低于市场（描述）</t>
        </is>
      </c>
      <c r="Z55" s="2" t="inlineStr">
        <is>
          <t>先查词意图与主力ASIN，再核查商品和展示条件</t>
        </is>
      </c>
      <c r="AA55" s="3" t="n">
        <v>319</v>
      </c>
      <c r="AB55" s="3" t="n">
        <v>40</v>
      </c>
    </row>
    <row r="56">
      <c r="A56" s="3" t="n">
        <v>55</v>
      </c>
      <c r="B56" s="4" t="inlineStr">
        <is>
          <t>2 quart pitcher with lid</t>
        </is>
      </c>
      <c r="C56" s="3" t="n">
        <v>6615</v>
      </c>
      <c r="D56" s="3" t="n">
        <v>4</v>
      </c>
      <c r="E56" s="3" t="n">
        <v>10060</v>
      </c>
      <c r="F56" s="3" t="n">
        <v>188</v>
      </c>
      <c r="G56" s="5">
        <f>F56/47159</f>
        <v>0.00398651370894209</v>
      </c>
      <c r="H56" s="3" t="n">
        <v>73</v>
      </c>
      <c r="I56" s="3" t="n">
        <v>39</v>
      </c>
      <c r="J56" s="5">
        <f>I56/3778</f>
        <v>0.010322922181048173</v>
      </c>
      <c r="K56" s="5">
        <f>IFERROR(IF(AND(ISNUMBER(F56),ISNUMBER(E56),E56&gt;0),F56/E56,""),"")</f>
        <v>0.01868787276341948</v>
      </c>
      <c r="L56" s="5">
        <f>IFERROR(IF(AND(ISNUMBER(V56),ISNUMBER(U56),U56&gt;0),V56/U56,""),"")</f>
        <v>0.015594817432273263</v>
      </c>
      <c r="M56" s="6">
        <f>IFERROR(IF(AND(ISNUMBER(K56),ISNUMBER(L56)),(K56-L56)*100,""),"")</f>
        <v>0.3093055331146219</v>
      </c>
      <c r="N56" s="5">
        <f>IFERROR(IF(AND(ISNUMBER(H56),ISNUMBER(F56),F56&gt;0),H56/F56,""),"")</f>
        <v>0.3882978723404255</v>
      </c>
      <c r="O56" s="5">
        <f>IFERROR(IF(AND(ISNUMBER(I56),ISNUMBER(F56),F56&gt;0),I56/F56,""),"")</f>
        <v>0.2074468085106383</v>
      </c>
      <c r="P56" s="5">
        <f>IFERROR(IF(AND(ISNUMBER(W56),ISNUMBER(V56),V56&gt;0),W56/V56,""),"")</f>
        <v>0.16482040953340046</v>
      </c>
      <c r="Q56" s="6">
        <f>IFERROR(IF(AND(ISNUMBER(O56),ISNUMBER(P56)),(O56-P56)*100,""),"")</f>
        <v>4.2626398977237825</v>
      </c>
      <c r="R56" s="4" t="inlineStr">
        <is>
          <t>B0DGCVK1JL</t>
        </is>
      </c>
      <c r="S56" s="3" t="n">
        <v>183</v>
      </c>
      <c r="T56" s="5">
        <f>IFERROR(S56/F56,"")</f>
        <v>0.973404255319149</v>
      </c>
      <c r="U56" s="3" t="n">
        <v>191025</v>
      </c>
      <c r="V56" s="3" t="n">
        <v>2979</v>
      </c>
      <c r="W56" s="3" t="n">
        <v>491</v>
      </c>
      <c r="X56" s="6">
        <f>IFERROR(IF(ISNUMBER(P56),F56*P56,""),"")</f>
        <v>30.986236992279288</v>
      </c>
      <c r="Y56" s="2" t="inlineStr">
        <is>
          <t>CTR及购买比均不低于市场（描述）</t>
        </is>
      </c>
      <c r="Z56" s="2" t="inlineStr">
        <is>
          <t>确认相关性和表现稳定性；增长测试还需成本、利润与库存</t>
        </is>
      </c>
      <c r="AA56" s="3" t="n">
        <v>325</v>
      </c>
      <c r="AB56" s="3" t="n">
        <v>83</v>
      </c>
    </row>
    <row r="57">
      <c r="A57" s="3" t="n">
        <v>56</v>
      </c>
      <c r="B57" s="4" t="inlineStr">
        <is>
          <t>water jug</t>
        </is>
      </c>
      <c r="C57" s="3" t="n">
        <v>109655</v>
      </c>
      <c r="D57" s="3" t="n">
        <v>4</v>
      </c>
      <c r="E57" s="3" t="n">
        <v>56219</v>
      </c>
      <c r="F57" s="3" t="n">
        <v>188</v>
      </c>
      <c r="G57" s="5">
        <f>F57/47159</f>
        <v>0.00398651370894209</v>
      </c>
      <c r="H57" s="3" t="n">
        <v>49</v>
      </c>
      <c r="I57" s="3" t="n">
        <v>7</v>
      </c>
      <c r="J57" s="5">
        <f>I57/3778</f>
        <v>0.0018528321863419798</v>
      </c>
      <c r="K57" s="5">
        <f>IFERROR(IF(AND(ISNUMBER(F57),ISNUMBER(E57),E57&gt;0),F57/E57,""),"")</f>
        <v>0.0033440651736957256</v>
      </c>
      <c r="L57" s="5">
        <f>IFERROR(IF(AND(ISNUMBER(V57),ISNUMBER(U57),U57&gt;0),V57/U57,""),"")</f>
        <v>0.011533128565760022</v>
      </c>
      <c r="M57" s="6">
        <f>IFERROR(IF(AND(ISNUMBER(K57),ISNUMBER(L57)),(K57-L57)*100,""),"")</f>
        <v>-0.8189063392064297</v>
      </c>
      <c r="N57" s="5">
        <f>IFERROR(IF(AND(ISNUMBER(H57),ISNUMBER(F57),F57&gt;0),H57/F57,""),"")</f>
        <v>0.26063829787234044</v>
      </c>
      <c r="O57" s="5">
        <f>IFERROR(IF(AND(ISNUMBER(I57),ISNUMBER(F57),F57&gt;0),I57/F57,""),"")</f>
        <v>0.03723404255319149</v>
      </c>
      <c r="P57" s="5">
        <f>IFERROR(IF(AND(ISNUMBER(W57),ISNUMBER(V57),V57&gt;0),W57/V57,""),"")</f>
        <v>0.07764113201955845</v>
      </c>
      <c r="Q57" s="6">
        <f>IFERROR(IF(AND(ISNUMBER(O57),ISNUMBER(P57)),(O57-P57)*100,""),"")</f>
        <v>-4.0407089466366966</v>
      </c>
      <c r="R57" s="4" t="inlineStr">
        <is>
          <t>B0DGCVK1JL</t>
        </is>
      </c>
      <c r="S57" s="3" t="n">
        <v>177</v>
      </c>
      <c r="T57" s="5">
        <f>IFERROR(S57/F57,"")</f>
        <v>0.9414893617021277</v>
      </c>
      <c r="U57" s="3" t="n">
        <v>2925919</v>
      </c>
      <c r="V57" s="3" t="n">
        <v>33745</v>
      </c>
      <c r="W57" s="3" t="n">
        <v>2620</v>
      </c>
      <c r="X57" s="6">
        <f>IFERROR(IF(ISNUMBER(P57),F57*P57,""),"")</f>
        <v>14.59653281967699</v>
      </c>
      <c r="Y57" s="2" t="inlineStr">
        <is>
          <t>CTR及购买比均低于市场（描述）</t>
        </is>
      </c>
      <c r="Z57" s="2" t="inlineStr">
        <is>
          <t>先查词意图与主力ASIN，再核查商品和展示条件</t>
        </is>
      </c>
      <c r="AA57" s="3" t="n">
        <v>280</v>
      </c>
      <c r="AB57" s="3" t="n">
        <v>14</v>
      </c>
    </row>
    <row r="58">
      <c r="A58" s="3" t="n">
        <v>57</v>
      </c>
      <c r="B58" s="4" t="inlineStr">
        <is>
          <t>water pitcher for fridge</t>
        </is>
      </c>
      <c r="C58" s="3" t="n">
        <v>9206</v>
      </c>
      <c r="D58" s="3" t="n">
        <v>3</v>
      </c>
      <c r="E58" s="3" t="n">
        <v>11392</v>
      </c>
      <c r="F58" s="3" t="n">
        <v>187</v>
      </c>
      <c r="G58" s="5">
        <f>F58/47159</f>
        <v>0.003965308848788142</v>
      </c>
      <c r="H58" s="3" t="n">
        <v>76</v>
      </c>
      <c r="I58" s="3" t="n">
        <v>27</v>
      </c>
      <c r="J58" s="5">
        <f>I58/3778</f>
        <v>0.007146638433033351</v>
      </c>
      <c r="K58" s="5">
        <f>IFERROR(IF(AND(ISNUMBER(F58),ISNUMBER(E58),E58&gt;0),F58/E58,""),"")</f>
        <v>0.01641502808988764</v>
      </c>
      <c r="L58" s="5">
        <f>IFERROR(IF(AND(ISNUMBER(V58),ISNUMBER(U58),U58&gt;0),V58/U58,""),"")</f>
        <v>0.01478848668192676</v>
      </c>
      <c r="M58" s="6">
        <f>IFERROR(IF(AND(ISNUMBER(K58),ISNUMBER(L58)),(K58-L58)*100,""),"")</f>
        <v>0.1626541407960881</v>
      </c>
      <c r="N58" s="5">
        <f>IFERROR(IF(AND(ISNUMBER(H58),ISNUMBER(F58),F58&gt;0),H58/F58,""),"")</f>
        <v>0.40641711229946526</v>
      </c>
      <c r="O58" s="5">
        <f>IFERROR(IF(AND(ISNUMBER(I58),ISNUMBER(F58),F58&gt;0),I58/F58,""),"")</f>
        <v>0.1443850267379679</v>
      </c>
      <c r="P58" s="5">
        <f>IFERROR(IF(AND(ISNUMBER(W58),ISNUMBER(V58),V58&gt;0),W58/V58,""),"")</f>
        <v>0.12185636505055743</v>
      </c>
      <c r="Q58" s="6">
        <f>IFERROR(IF(AND(ISNUMBER(O58),ISNUMBER(P58)),(O58-P58)*100,""),"")</f>
        <v>2.2528661687410483</v>
      </c>
      <c r="R58" s="4" t="inlineStr">
        <is>
          <t>B0DGCVK1JL</t>
        </is>
      </c>
      <c r="S58" s="3" t="n">
        <v>183</v>
      </c>
      <c r="T58" s="5">
        <f>IFERROR(S58/F58,"")</f>
        <v>0.9786096256684492</v>
      </c>
      <c r="U58" s="3" t="n">
        <v>260811</v>
      </c>
      <c r="V58" s="3" t="n">
        <v>3857</v>
      </c>
      <c r="W58" s="3" t="n">
        <v>470</v>
      </c>
      <c r="X58" s="6">
        <f>IFERROR(IF(ISNUMBER(P58),F58*P58,""),"")</f>
        <v>22.78714026445424</v>
      </c>
      <c r="Y58" s="2" t="inlineStr">
        <is>
          <t>CTR及购买比均不低于市场（描述）</t>
        </is>
      </c>
      <c r="Z58" s="2" t="inlineStr">
        <is>
          <t>确认相关性和表现稳定性；增长测试还需成本、利润与库存</t>
        </is>
      </c>
      <c r="AA58" s="3" t="n">
        <v>279</v>
      </c>
      <c r="AB58" s="3" t="n">
        <v>72</v>
      </c>
    </row>
    <row r="59">
      <c r="A59" s="3" t="n">
        <v>58</v>
      </c>
      <c r="B59" s="4" t="inlineStr">
        <is>
          <t>kitchen accessories</t>
        </is>
      </c>
      <c r="C59" s="3" t="n">
        <v>135815</v>
      </c>
      <c r="D59" s="3" t="n">
        <v>1</v>
      </c>
      <c r="E59" s="3" t="n">
        <v>10908</v>
      </c>
      <c r="F59" s="3" t="n">
        <v>184</v>
      </c>
      <c r="G59" s="5">
        <f>F59/47159</f>
        <v>0.0039016942683263002</v>
      </c>
      <c r="H59" s="3" t="n">
        <v>89</v>
      </c>
      <c r="I59" s="3" t="n">
        <v>5</v>
      </c>
      <c r="J59" s="5">
        <f>I59/3778</f>
        <v>0.0013234515616728428</v>
      </c>
      <c r="K59" s="5">
        <f>IFERROR(IF(AND(ISNUMBER(F59),ISNUMBER(E59),E59&gt;0),F59/E59,""),"")</f>
        <v>0.016868353502016868</v>
      </c>
      <c r="L59" s="5">
        <f>IFERROR(IF(AND(ISNUMBER(V59),ISNUMBER(U59),U59&gt;0),V59/U59,""),"")</f>
        <v>0.013008638832667618</v>
      </c>
      <c r="M59" s="6">
        <f>IFERROR(IF(AND(ISNUMBER(K59),ISNUMBER(L59)),(K59-L59)*100,""),"")</f>
        <v>0.385971466934925</v>
      </c>
      <c r="N59" s="5">
        <f>IFERROR(IF(AND(ISNUMBER(H59),ISNUMBER(F59),F59&gt;0),H59/F59,""),"")</f>
        <v>0.483695652173913</v>
      </c>
      <c r="O59" s="5">
        <f>IFERROR(IF(AND(ISNUMBER(I59),ISNUMBER(F59),F59&gt;0),I59/F59,""),"")</f>
        <v>0.02717391304347826</v>
      </c>
      <c r="P59" s="5">
        <f>IFERROR(IF(AND(ISNUMBER(W59),ISNUMBER(V59),V59&gt;0),W59/V59,""),"")</f>
        <v>0.028151891492455484</v>
      </c>
      <c r="Q59" s="6">
        <f>IFERROR(IF(AND(ISNUMBER(O59),ISNUMBER(P59)),(O59-P59)*100,""),"")</f>
        <v>-0.09779784489772243</v>
      </c>
      <c r="R59" s="4" t="inlineStr">
        <is>
          <t>B0DGCVK1JL</t>
        </is>
      </c>
      <c r="S59" s="3" t="n">
        <v>184</v>
      </c>
      <c r="T59" s="5">
        <f>IFERROR(S59/F59,"")</f>
        <v>1.0</v>
      </c>
      <c r="U59" s="3" t="n">
        <v>3224857</v>
      </c>
      <c r="V59" s="3" t="n">
        <v>41951</v>
      </c>
      <c r="W59" s="3" t="n">
        <v>1181</v>
      </c>
      <c r="X59" s="6">
        <f>IFERROR(IF(ISNUMBER(P59),F59*P59,""),"")</f>
        <v>5.179948034611809</v>
      </c>
      <c r="Y59" s="2" t="inlineStr">
        <is>
          <t>购买基准计数少，先观察</t>
        </is>
      </c>
      <c r="Z59" s="2" t="inlineStr">
        <is>
          <t>核查词意图和主力ASIN；不凭比率判断购买优劣</t>
        </is>
      </c>
      <c r="AA59" s="3" t="n">
        <v>299</v>
      </c>
      <c r="AB59" s="3" t="n">
        <v>79</v>
      </c>
    </row>
    <row r="60">
      <c r="A60" s="3" t="n">
        <v>59</v>
      </c>
      <c r="B60" s="4" t="inlineStr">
        <is>
          <t>glass pitcher for breastmilk</t>
        </is>
      </c>
      <c r="C60" s="3" t="n">
        <v>4607</v>
      </c>
      <c r="D60" s="3" t="n">
        <v>4</v>
      </c>
      <c r="E60" s="3" t="n">
        <v>4237</v>
      </c>
      <c r="F60" s="3" t="n">
        <v>182</v>
      </c>
      <c r="G60" s="5">
        <f>F60/47159</f>
        <v>0.003859284548018406</v>
      </c>
      <c r="H60" s="3" t="n">
        <v>42</v>
      </c>
      <c r="I60" s="3" t="n">
        <v>6</v>
      </c>
      <c r="J60" s="5">
        <f>I60/3778</f>
        <v>0.0015881418740074113</v>
      </c>
      <c r="K60" s="5">
        <f>IFERROR(IF(AND(ISNUMBER(F60),ISNUMBER(E60),E60&gt;0),F60/E60,""),"")</f>
        <v>0.04295492093462355</v>
      </c>
      <c r="L60" s="5">
        <f>IFERROR(IF(AND(ISNUMBER(V60),ISNUMBER(U60),U60&gt;0),V60/U60,""),"")</f>
        <v>0.02309858638119089</v>
      </c>
      <c r="M60" s="6">
        <f>IFERROR(IF(AND(ISNUMBER(K60),ISNUMBER(L60)),(K60-L60)*100,""),"")</f>
        <v>1.9856334553432664</v>
      </c>
      <c r="N60" s="5">
        <f>IFERROR(IF(AND(ISNUMBER(H60),ISNUMBER(F60),F60&gt;0),H60/F60,""),"")</f>
        <v>0.23076923076923078</v>
      </c>
      <c r="O60" s="5">
        <f>IFERROR(IF(AND(ISNUMBER(I60),ISNUMBER(F60),F60&gt;0),I60/F60,""),"")</f>
        <v>0.03296703296703297</v>
      </c>
      <c r="P60" s="5">
        <f>IFERROR(IF(AND(ISNUMBER(W60),ISNUMBER(V60),V60&gt;0),W60/V60,""),"")</f>
        <v>0.07188244638602065</v>
      </c>
      <c r="Q60" s="6">
        <f>IFERROR(IF(AND(ISNUMBER(O60),ISNUMBER(P60)),(O60-P60)*100,""),"")</f>
        <v>-3.891541341898768</v>
      </c>
      <c r="R60" s="4" t="inlineStr">
        <is>
          <t>B0FVFHP8JF</t>
        </is>
      </c>
      <c r="S60" s="3" t="n">
        <v>166</v>
      </c>
      <c r="T60" s="5">
        <f>IFERROR(S60/F60,"")</f>
        <v>0.9120879120879121</v>
      </c>
      <c r="U60" s="3" t="n">
        <v>109011</v>
      </c>
      <c r="V60" s="3" t="n">
        <v>2518</v>
      </c>
      <c r="W60" s="3" t="n">
        <v>181</v>
      </c>
      <c r="X60" s="6">
        <f>IFERROR(IF(ISNUMBER(P60),F60*P60,""),"")</f>
        <v>13.082605242255758</v>
      </c>
      <c r="Y60" s="2" t="inlineStr">
        <is>
          <t>CTR不低，购买比低于市场（描述）</t>
        </is>
      </c>
      <c r="Z60" s="2" t="inlineStr">
        <is>
          <t>查主力ASIN规格、功能、价格、库存及页面；原因待验证</t>
        </is>
      </c>
      <c r="AA60" s="3" t="n">
        <v>2091</v>
      </c>
      <c r="AB60" s="4" t="n"/>
    </row>
    <row r="61">
      <c r="A61" s="3" t="n">
        <v>60</v>
      </c>
      <c r="B61" s="4" t="inlineStr">
        <is>
          <t>mason jars with lids</t>
        </is>
      </c>
      <c r="C61" s="3" t="n">
        <v>45317</v>
      </c>
      <c r="D61" s="3" t="n">
        <v>4</v>
      </c>
      <c r="E61" s="3" t="n">
        <v>40484</v>
      </c>
      <c r="F61" s="3" t="n">
        <v>177</v>
      </c>
      <c r="G61" s="5">
        <f>F61/47159</f>
        <v>0.0037532602472486695</v>
      </c>
      <c r="H61" s="3" t="n">
        <v>82</v>
      </c>
      <c r="I61" s="3" t="n">
        <v>12</v>
      </c>
      <c r="J61" s="5">
        <f>I61/3778</f>
        <v>0.0031762837480148226</v>
      </c>
      <c r="K61" s="5">
        <f>IFERROR(IF(AND(ISNUMBER(F61),ISNUMBER(E61),E61&gt;0),F61/E61,""),"")</f>
        <v>0.00437209761881237</v>
      </c>
      <c r="L61" s="5">
        <f>IFERROR(IF(AND(ISNUMBER(V61),ISNUMBER(U61),U61&gt;0),V61/U61,""),"")</f>
        <v>0.011602102366000422</v>
      </c>
      <c r="M61" s="6">
        <f>IFERROR(IF(AND(ISNUMBER(K61),ISNUMBER(L61)),(K61-L61)*100,""),"")</f>
        <v>-0.7230004747188051</v>
      </c>
      <c r="N61" s="5">
        <f>IFERROR(IF(AND(ISNUMBER(H61),ISNUMBER(F61),F61&gt;0),H61/F61,""),"")</f>
        <v>0.4632768361581921</v>
      </c>
      <c r="O61" s="5">
        <f>IFERROR(IF(AND(ISNUMBER(I61),ISNUMBER(F61),F61&gt;0),I61/F61,""),"")</f>
        <v>0.06779661016949153</v>
      </c>
      <c r="P61" s="5">
        <f>IFERROR(IF(AND(ISNUMBER(W61),ISNUMBER(V61),V61&gt;0),W61/V61,""),"")</f>
        <v>0.12584071908982336</v>
      </c>
      <c r="Q61" s="6">
        <f>IFERROR(IF(AND(ISNUMBER(O61),ISNUMBER(P61)),(O61-P61)*100,""),"")</f>
        <v>-5.804410892033183</v>
      </c>
      <c r="R61" s="4" t="inlineStr">
        <is>
          <t>B0DGCVK1JL</t>
        </is>
      </c>
      <c r="S61" s="3" t="n">
        <v>156</v>
      </c>
      <c r="T61" s="5">
        <f>IFERROR(S61/F61,"")</f>
        <v>0.8813559322033898</v>
      </c>
      <c r="U61" s="3" t="n">
        <v>1371217</v>
      </c>
      <c r="V61" s="3" t="n">
        <v>15909</v>
      </c>
      <c r="W61" s="3" t="n">
        <v>2002</v>
      </c>
      <c r="X61" s="6">
        <f>IFERROR(IF(ISNUMBER(P61),F61*P61,""),"")</f>
        <v>22.273807278898733</v>
      </c>
      <c r="Y61" s="2" t="inlineStr">
        <is>
          <t>CTR及购买比均低于市场（描述）</t>
        </is>
      </c>
      <c r="Z61" s="2" t="inlineStr">
        <is>
          <t>先查词意图与主力ASIN，再核查商品和展示条件</t>
        </is>
      </c>
      <c r="AA61" s="3" t="n">
        <v>254</v>
      </c>
      <c r="AB61" s="3" t="n">
        <v>17</v>
      </c>
    </row>
    <row r="62">
      <c r="A62" s="3" t="n">
        <v>61</v>
      </c>
      <c r="B62" s="4" t="inlineStr">
        <is>
          <t>ninja</t>
        </is>
      </c>
      <c r="C62" s="3" t="n">
        <v>487553</v>
      </c>
      <c r="D62" s="3" t="n">
        <v>2</v>
      </c>
      <c r="E62" s="3" t="n">
        <v>7310</v>
      </c>
      <c r="F62" s="3" t="n">
        <v>176</v>
      </c>
      <c r="G62" s="5">
        <f>F62/47159</f>
        <v>0.003732055387094722</v>
      </c>
      <c r="H62" s="3" t="n">
        <v>83</v>
      </c>
      <c r="I62" s="3" t="n">
        <v>1</v>
      </c>
      <c r="J62" s="5">
        <f>I62/3778</f>
        <v>0.00026469031233456857</v>
      </c>
      <c r="K62" s="5">
        <f>IFERROR(IF(AND(ISNUMBER(F62),ISNUMBER(E62),E62&gt;0),F62/E62,""),"")</f>
        <v>0.024076607387140903</v>
      </c>
      <c r="L62" s="5">
        <f>IFERROR(IF(AND(ISNUMBER(V62),ISNUMBER(U62),U62&gt;0),V62/U62,""),"")</f>
        <v>0.014313653933637049</v>
      </c>
      <c r="M62" s="6">
        <f>IFERROR(IF(AND(ISNUMBER(K62),ISNUMBER(L62)),(K62-L62)*100,""),"")</f>
        <v>0.9762953453503854</v>
      </c>
      <c r="N62" s="5">
        <f>IFERROR(IF(AND(ISNUMBER(H62),ISNUMBER(F62),F62&gt;0),H62/F62,""),"")</f>
        <v>0.4715909090909091</v>
      </c>
      <c r="O62" s="5">
        <f>IFERROR(IF(AND(ISNUMBER(I62),ISNUMBER(F62),F62&gt;0),I62/F62,""),"")</f>
        <v>0.005681818181818182</v>
      </c>
      <c r="P62" s="5">
        <f>IFERROR(IF(AND(ISNUMBER(W62),ISNUMBER(V62),V62&gt;0),W62/V62,""),"")</f>
        <v>0.008710848596510242</v>
      </c>
      <c r="Q62" s="6">
        <f>IFERROR(IF(AND(ISNUMBER(O62),ISNUMBER(P62)),(O62-P62)*100,""),"")</f>
        <v>-0.30290304146920605</v>
      </c>
      <c r="R62" s="4" t="inlineStr">
        <is>
          <t>B0DGCVK1JL</t>
        </is>
      </c>
      <c r="S62" s="3" t="n">
        <v>175</v>
      </c>
      <c r="T62" s="5">
        <f>IFERROR(S62/F62,"")</f>
        <v>0.9943181818181818</v>
      </c>
      <c r="U62" s="3" t="n">
        <v>10314068</v>
      </c>
      <c r="V62" s="3" t="n">
        <v>147632</v>
      </c>
      <c r="W62" s="3" t="n">
        <v>1286</v>
      </c>
      <c r="X62" s="6">
        <f>IFERROR(IF(ISNUMBER(P62),F62*P62,""),"")</f>
        <v>1.5331093529858026</v>
      </c>
      <c r="Y62" s="2" t="inlineStr">
        <is>
          <t>购买基准计数少，先观察</t>
        </is>
      </c>
      <c r="Z62" s="2" t="inlineStr">
        <is>
          <t>核查词意图和主力ASIN；不凭比率判断购买优劣</t>
        </is>
      </c>
      <c r="AA62" s="3" t="n">
        <v>291</v>
      </c>
      <c r="AB62" s="4" t="n"/>
    </row>
    <row r="63">
      <c r="A63" s="3" t="n">
        <v>62</v>
      </c>
      <c r="B63" s="4" t="inlineStr">
        <is>
          <t>large mason jars</t>
        </is>
      </c>
      <c r="C63" s="3" t="n">
        <v>24167</v>
      </c>
      <c r="D63" s="3" t="n">
        <v>1</v>
      </c>
      <c r="E63" s="3" t="n">
        <v>22953</v>
      </c>
      <c r="F63" s="3" t="n">
        <v>172</v>
      </c>
      <c r="G63" s="5">
        <f>F63/47159</f>
        <v>0.003647235946478933</v>
      </c>
      <c r="H63" s="3" t="n">
        <v>72</v>
      </c>
      <c r="I63" s="3" t="n">
        <v>18</v>
      </c>
      <c r="J63" s="5">
        <f>I63/3778</f>
        <v>0.004764425622022234</v>
      </c>
      <c r="K63" s="5">
        <f>IFERROR(IF(AND(ISNUMBER(F63),ISNUMBER(E63),E63&gt;0),F63/E63,""),"")</f>
        <v>0.0074935738247723606</v>
      </c>
      <c r="L63" s="5">
        <f>IFERROR(IF(AND(ISNUMBER(V63),ISNUMBER(U63),U63&gt;0),V63/U63,""),"")</f>
        <v>0.010139014620717023</v>
      </c>
      <c r="M63" s="6">
        <f>IFERROR(IF(AND(ISNUMBER(K63),ISNUMBER(L63)),(K63-L63)*100,""),"")</f>
        <v>-0.26454407959446624</v>
      </c>
      <c r="N63" s="5">
        <f>IFERROR(IF(AND(ISNUMBER(H63),ISNUMBER(F63),F63&gt;0),H63/F63,""),"")</f>
        <v>0.4186046511627907</v>
      </c>
      <c r="O63" s="5">
        <f>IFERROR(IF(AND(ISNUMBER(I63),ISNUMBER(F63),F63&gt;0),I63/F63,""),"")</f>
        <v>0.10465116279069768</v>
      </c>
      <c r="P63" s="5">
        <f>IFERROR(IF(AND(ISNUMBER(W63),ISNUMBER(V63),V63&gt;0),W63/V63,""),"")</f>
        <v>0.14359099804305284</v>
      </c>
      <c r="Q63" s="6">
        <f>IFERROR(IF(AND(ISNUMBER(O63),ISNUMBER(P63)),(O63-P63)*100,""),"")</f>
        <v>-3.8939835252355155</v>
      </c>
      <c r="R63" s="4" t="inlineStr">
        <is>
          <t>B0DGCVK1JL</t>
        </is>
      </c>
      <c r="S63" s="3" t="n">
        <v>172</v>
      </c>
      <c r="T63" s="5">
        <f>IFERROR(S63/F63,"")</f>
        <v>1.0</v>
      </c>
      <c r="U63" s="3" t="n">
        <v>806390</v>
      </c>
      <c r="V63" s="3" t="n">
        <v>8176</v>
      </c>
      <c r="W63" s="3" t="n">
        <v>1174</v>
      </c>
      <c r="X63" s="6">
        <f>IFERROR(IF(ISNUMBER(P63),F63*P63,""),"")</f>
        <v>24.69765166340509</v>
      </c>
      <c r="Y63" s="2" t="inlineStr">
        <is>
          <t>CTR及购买比均低于市场（描述）</t>
        </is>
      </c>
      <c r="Z63" s="2" t="inlineStr">
        <is>
          <t>先查词意图与主力ASIN，再核查商品和展示条件</t>
        </is>
      </c>
      <c r="AA63" s="3" t="n">
        <v>261</v>
      </c>
      <c r="AB63" s="3" t="n">
        <v>36</v>
      </c>
    </row>
    <row r="64">
      <c r="A64" s="3" t="n">
        <v>63</v>
      </c>
      <c r="B64" s="4" t="inlineStr">
        <is>
          <t>tupperware</t>
        </is>
      </c>
      <c r="C64" s="3" t="n">
        <v>312967</v>
      </c>
      <c r="D64" s="3" t="n">
        <v>3</v>
      </c>
      <c r="E64" s="3" t="n">
        <v>12471</v>
      </c>
      <c r="F64" s="3" t="n">
        <v>172</v>
      </c>
      <c r="G64" s="5">
        <f>F64/47159</f>
        <v>0.003647235946478933</v>
      </c>
      <c r="H64" s="3" t="n">
        <v>66</v>
      </c>
      <c r="I64" s="3" t="n">
        <v>5</v>
      </c>
      <c r="J64" s="5">
        <f>I64/3778</f>
        <v>0.0013234515616728428</v>
      </c>
      <c r="K64" s="5">
        <f>IFERROR(IF(AND(ISNUMBER(F64),ISNUMBER(E64),E64&gt;0),F64/E64,""),"")</f>
        <v>0.01379199743404699</v>
      </c>
      <c r="L64" s="5">
        <f>IFERROR(IF(AND(ISNUMBER(V64),ISNUMBER(U64),U64&gt;0),V64/U64,""),"")</f>
        <v>0.013481063868660768</v>
      </c>
      <c r="M64" s="6">
        <f>IFERROR(IF(AND(ISNUMBER(K64),ISNUMBER(L64)),(K64-L64)*100,""),"")</f>
        <v>0.031093356538622156</v>
      </c>
      <c r="N64" s="5">
        <f>IFERROR(IF(AND(ISNUMBER(H64),ISNUMBER(F64),F64&gt;0),H64/F64,""),"")</f>
        <v>0.38372093023255816</v>
      </c>
      <c r="O64" s="5">
        <f>IFERROR(IF(AND(ISNUMBER(I64),ISNUMBER(F64),F64&gt;0),I64/F64,""),"")</f>
        <v>0.029069767441860465</v>
      </c>
      <c r="P64" s="5">
        <f>IFERROR(IF(AND(ISNUMBER(W64),ISNUMBER(V64),V64&gt;0),W64/V64,""),"")</f>
        <v>0.1296905101933233</v>
      </c>
      <c r="Q64" s="6">
        <f>IFERROR(IF(AND(ISNUMBER(O64),ISNUMBER(P64)),(O64-P64)*100,""),"")</f>
        <v>-10.062074275146285</v>
      </c>
      <c r="R64" s="4" t="inlineStr">
        <is>
          <t>B0DGCVK1JL</t>
        </is>
      </c>
      <c r="S64" s="3" t="n">
        <v>104</v>
      </c>
      <c r="T64" s="5">
        <f>IFERROR(S64/F64,"")</f>
        <v>0.6046511627906976</v>
      </c>
      <c r="U64" s="3" t="n">
        <v>7739226</v>
      </c>
      <c r="V64" s="3" t="n">
        <v>104333</v>
      </c>
      <c r="W64" s="3" t="n">
        <v>13531</v>
      </c>
      <c r="X64" s="6">
        <f>IFERROR(IF(ISNUMBER(P64),F64*P64,""),"")</f>
        <v>22.30676775325161</v>
      </c>
      <c r="Y64" s="2" t="inlineStr">
        <is>
          <t>CTR不低，购买比低于市场（描述）</t>
        </is>
      </c>
      <c r="Z64" s="2" t="inlineStr">
        <is>
          <t>查主力ASIN规格、功能、价格、库存及页面；原因待验证</t>
        </is>
      </c>
      <c r="AA64" s="3" t="n">
        <v>276</v>
      </c>
      <c r="AB64" s="3" t="n">
        <v>68</v>
      </c>
    </row>
    <row r="65">
      <c r="A65" s="3" t="n">
        <v>64</v>
      </c>
      <c r="B65" s="4" t="inlineStr">
        <is>
          <t>ice tea maker</t>
        </is>
      </c>
      <c r="C65" s="3" t="n">
        <v>20289</v>
      </c>
      <c r="D65" s="3" t="n">
        <v>6</v>
      </c>
      <c r="E65" s="3" t="n">
        <v>11197</v>
      </c>
      <c r="F65" s="3" t="n">
        <v>170</v>
      </c>
      <c r="G65" s="5">
        <f>F65/47159</f>
        <v>0.0036048262261710383</v>
      </c>
      <c r="H65" s="3" t="n">
        <v>28</v>
      </c>
      <c r="I65" s="3" t="n">
        <v>4</v>
      </c>
      <c r="J65" s="5">
        <f>I65/3778</f>
        <v>0.0010587612493382743</v>
      </c>
      <c r="K65" s="5">
        <f>IFERROR(IF(AND(ISNUMBER(F65),ISNUMBER(E65),E65&gt;0),F65/E65,""),"")</f>
        <v>0.0151826382066625</v>
      </c>
      <c r="L65" s="5">
        <f>IFERROR(IF(AND(ISNUMBER(V65),ISNUMBER(U65),U65&gt;0),V65/U65,""),"")</f>
        <v>0.015790935164346508</v>
      </c>
      <c r="M65" s="6">
        <f>IFERROR(IF(AND(ISNUMBER(K65),ISNUMBER(L65)),(K65-L65)*100,""),"")</f>
        <v>-0.0608296957684008</v>
      </c>
      <c r="N65" s="5">
        <f>IFERROR(IF(AND(ISNUMBER(H65),ISNUMBER(F65),F65&gt;0),H65/F65,""),"")</f>
        <v>0.16470588235294117</v>
      </c>
      <c r="O65" s="5">
        <f>IFERROR(IF(AND(ISNUMBER(I65),ISNUMBER(F65),F65&gt;0),I65/F65,""),"")</f>
        <v>0.023529411764705882</v>
      </c>
      <c r="P65" s="5">
        <f>IFERROR(IF(AND(ISNUMBER(W65),ISNUMBER(V65),V65&gt;0),W65/V65,""),"")</f>
        <v>0.07390555828824398</v>
      </c>
      <c r="Q65" s="6">
        <f>IFERROR(IF(AND(ISNUMBER(O65),ISNUMBER(P65)),(O65-P65)*100,""),"")</f>
        <v>-5.03761465235381</v>
      </c>
      <c r="R65" s="4" t="inlineStr">
        <is>
          <t>B0F42MGYXK</t>
        </is>
      </c>
      <c r="S65" s="3" t="n">
        <v>115</v>
      </c>
      <c r="T65" s="5">
        <f>IFERROR(S65/F65,"")</f>
        <v>0.6764705882352942</v>
      </c>
      <c r="U65" s="3" t="n">
        <v>514979</v>
      </c>
      <c r="V65" s="3" t="n">
        <v>8132</v>
      </c>
      <c r="W65" s="3" t="n">
        <v>601</v>
      </c>
      <c r="X65" s="6">
        <f>IFERROR(IF(ISNUMBER(P65),F65*P65,""),"")</f>
        <v>12.563944909001476</v>
      </c>
      <c r="Y65" s="2" t="inlineStr">
        <is>
          <t>CTR及购买比均低于市场（描述）</t>
        </is>
      </c>
      <c r="Z65" s="2" t="inlineStr">
        <is>
          <t>先查词意图与主力ASIN，再核查商品和展示条件</t>
        </is>
      </c>
      <c r="AA65" s="3" t="n">
        <v>771</v>
      </c>
      <c r="AB65" s="3" t="n">
        <v>77</v>
      </c>
    </row>
    <row r="66">
      <c r="A66" s="3" t="n">
        <v>65</v>
      </c>
      <c r="B66" s="4" t="inlineStr">
        <is>
          <t>jars</t>
        </is>
      </c>
      <c r="C66" s="3" t="n">
        <v>64525</v>
      </c>
      <c r="D66" s="3" t="n">
        <v>3</v>
      </c>
      <c r="E66" s="3" t="n">
        <v>43701</v>
      </c>
      <c r="F66" s="3" t="n">
        <v>170</v>
      </c>
      <c r="G66" s="5">
        <f>F66/47159</f>
        <v>0.0036048262261710383</v>
      </c>
      <c r="H66" s="3" t="n">
        <v>60</v>
      </c>
      <c r="I66" s="3" t="n">
        <v>6</v>
      </c>
      <c r="J66" s="5">
        <f>I66/3778</f>
        <v>0.0015881418740074113</v>
      </c>
      <c r="K66" s="5">
        <f>IFERROR(IF(AND(ISNUMBER(F66),ISNUMBER(E66),E66&gt;0),F66/E66,""),"")</f>
        <v>0.003890071165419556</v>
      </c>
      <c r="L66" s="5">
        <f>IFERROR(IF(AND(ISNUMBER(V66),ISNUMBER(U66),U66&gt;0),V66/U66,""),"")</f>
        <v>0.008938550392840418</v>
      </c>
      <c r="M66" s="6">
        <f>IFERROR(IF(AND(ISNUMBER(K66),ISNUMBER(L66)),(K66-L66)*100,""),"")</f>
        <v>-0.5048479227420862</v>
      </c>
      <c r="N66" s="5">
        <f>IFERROR(IF(AND(ISNUMBER(H66),ISNUMBER(F66),F66&gt;0),H66/F66,""),"")</f>
        <v>0.35294117647058826</v>
      </c>
      <c r="O66" s="5">
        <f>IFERROR(IF(AND(ISNUMBER(I66),ISNUMBER(F66),F66&gt;0),I66/F66,""),"")</f>
        <v>0.03529411764705882</v>
      </c>
      <c r="P66" s="5">
        <f>IFERROR(IF(AND(ISNUMBER(W66),ISNUMBER(V66),V66&gt;0),W66/V66,""),"")</f>
        <v>0.10140287560393503</v>
      </c>
      <c r="Q66" s="6">
        <f>IFERROR(IF(AND(ISNUMBER(O66),ISNUMBER(P66)),(O66-P66)*100,""),"")</f>
        <v>-6.610875795687621</v>
      </c>
      <c r="R66" s="4" t="inlineStr">
        <is>
          <t>B0DGCVK1JL</t>
        </is>
      </c>
      <c r="S66" s="3" t="n">
        <v>168</v>
      </c>
      <c r="T66" s="5">
        <f>IFERROR(S66/F66,"")</f>
        <v>0.9882352941176471</v>
      </c>
      <c r="U66" s="3" t="n">
        <v>1921900</v>
      </c>
      <c r="V66" s="3" t="n">
        <v>17179</v>
      </c>
      <c r="W66" s="3" t="n">
        <v>1742</v>
      </c>
      <c r="X66" s="6">
        <f>IFERROR(IF(ISNUMBER(P66),F66*P66,""),"")</f>
        <v>17.238488852668954</v>
      </c>
      <c r="Y66" s="2" t="inlineStr">
        <is>
          <t>CTR及购买比均低于市场（描述）</t>
        </is>
      </c>
      <c r="Z66" s="2" t="inlineStr">
        <is>
          <t>先查词意图与主力ASIN，再核查商品和展示条件</t>
        </is>
      </c>
      <c r="AA66" s="3" t="n">
        <v>322</v>
      </c>
      <c r="AB66" s="3" t="n">
        <v>16</v>
      </c>
    </row>
    <row r="67">
      <c r="A67" s="3" t="n">
        <v>66</v>
      </c>
      <c r="B67" s="4" t="inlineStr">
        <is>
          <t>coffee bar essentials</t>
        </is>
      </c>
      <c r="C67" s="3" t="n">
        <v>46965</v>
      </c>
      <c r="D67" s="3" t="n">
        <v>3</v>
      </c>
      <c r="E67" s="3" t="n">
        <v>11344</v>
      </c>
      <c r="F67" s="3" t="n">
        <v>168</v>
      </c>
      <c r="G67" s="5">
        <f>F67/47159</f>
        <v>0.003562416505863144</v>
      </c>
      <c r="H67" s="3" t="n">
        <v>81</v>
      </c>
      <c r="I67" s="3" t="n">
        <v>1</v>
      </c>
      <c r="J67" s="5">
        <f>I67/3778</f>
        <v>0.00026469031233456857</v>
      </c>
      <c r="K67" s="5">
        <f>IFERROR(IF(AND(ISNUMBER(F67),ISNUMBER(E67),E67&gt;0),F67/E67,""),"")</f>
        <v>0.014809590973201692</v>
      </c>
      <c r="L67" s="5">
        <f>IFERROR(IF(AND(ISNUMBER(V67),ISNUMBER(U67),U67&gt;0),V67/U67,""),"")</f>
        <v>0.01467940767204137</v>
      </c>
      <c r="M67" s="6">
        <f>IFERROR(IF(AND(ISNUMBER(K67),ISNUMBER(L67)),(K67-L67)*100,""),"")</f>
        <v>0.013018330116032137</v>
      </c>
      <c r="N67" s="5">
        <f>IFERROR(IF(AND(ISNUMBER(H67),ISNUMBER(F67),F67&gt;0),H67/F67,""),"")</f>
        <v>0.48214285714285715</v>
      </c>
      <c r="O67" s="5">
        <f>IFERROR(IF(AND(ISNUMBER(I67),ISNUMBER(F67),F67&gt;0),I67/F67,""),"")</f>
        <v>0.005952380952380952</v>
      </c>
      <c r="P67" s="5">
        <f>IFERROR(IF(AND(ISNUMBER(W67),ISNUMBER(V67),V67&gt;0),W67/V67,""),"")</f>
        <v>0.03776463856570666</v>
      </c>
      <c r="Q67" s="6">
        <f>IFERROR(IF(AND(ISNUMBER(O67),ISNUMBER(P67)),(O67-P67)*100,""),"")</f>
        <v>-3.1812257613325707</v>
      </c>
      <c r="R67" s="4" t="inlineStr">
        <is>
          <t>B0DGCVK1JL</t>
        </is>
      </c>
      <c r="S67" s="3" t="n">
        <v>133</v>
      </c>
      <c r="T67" s="5">
        <f>IFERROR(S67/F67,"")</f>
        <v>0.7916666666666666</v>
      </c>
      <c r="U67" s="3" t="n">
        <v>1071501</v>
      </c>
      <c r="V67" s="3" t="n">
        <v>15729</v>
      </c>
      <c r="W67" s="3" t="n">
        <v>594</v>
      </c>
      <c r="X67" s="6">
        <f>IFERROR(IF(ISNUMBER(P67),F67*P67,""),"")</f>
        <v>6.344459279038719</v>
      </c>
      <c r="Y67" s="2" t="inlineStr">
        <is>
          <t>购买基准计数少，先观察</t>
        </is>
      </c>
      <c r="Z67" s="2" t="inlineStr">
        <is>
          <t>核查词意图和主力ASIN；不凭比率判断购买优劣</t>
        </is>
      </c>
      <c r="AA67" s="3" t="n">
        <v>300</v>
      </c>
      <c r="AB67" s="3" t="n">
        <v>73</v>
      </c>
    </row>
    <row r="68">
      <c r="A68" s="3" t="n">
        <v>67</v>
      </c>
      <c r="B68" s="4" t="inlineStr">
        <is>
          <t>coffee accessories</t>
        </is>
      </c>
      <c r="C68" s="3" t="n">
        <v>52594</v>
      </c>
      <c r="D68" s="3" t="n">
        <v>3</v>
      </c>
      <c r="E68" s="3" t="n">
        <v>16412</v>
      </c>
      <c r="F68" s="3" t="n">
        <v>166</v>
      </c>
      <c r="G68" s="5">
        <f>F68/47159</f>
        <v>0.0035200067855552493</v>
      </c>
      <c r="H68" s="3" t="n">
        <v>60</v>
      </c>
      <c r="I68" s="3" t="n">
        <v>4</v>
      </c>
      <c r="J68" s="5">
        <f>I68/3778</f>
        <v>0.0010587612493382743</v>
      </c>
      <c r="K68" s="5">
        <f>IFERROR(IF(AND(ISNUMBER(F68),ISNUMBER(E68),E68&gt;0),F68/E68,""),"")</f>
        <v>0.010114550329027541</v>
      </c>
      <c r="L68" s="5">
        <f>IFERROR(IF(AND(ISNUMBER(V68),ISNUMBER(U68),U68&gt;0),V68/U68,""),"")</f>
        <v>0.010696578829715536</v>
      </c>
      <c r="M68" s="6">
        <f>IFERROR(IF(AND(ISNUMBER(K68),ISNUMBER(L68)),(K68-L68)*100,""),"")</f>
        <v>-0.05820285006879946</v>
      </c>
      <c r="N68" s="5">
        <f>IFERROR(IF(AND(ISNUMBER(H68),ISNUMBER(F68),F68&gt;0),H68/F68,""),"")</f>
        <v>0.3614457831325301</v>
      </c>
      <c r="O68" s="5">
        <f>IFERROR(IF(AND(ISNUMBER(I68),ISNUMBER(F68),F68&gt;0),I68/F68,""),"")</f>
        <v>0.024096385542168676</v>
      </c>
      <c r="P68" s="5">
        <f>IFERROR(IF(AND(ISNUMBER(W68),ISNUMBER(V68),V68&gt;0),W68/V68,""),"")</f>
        <v>0.05544291952588896</v>
      </c>
      <c r="Q68" s="6">
        <f>IFERROR(IF(AND(ISNUMBER(O68),ISNUMBER(P68)),(O68-P68)*100,""),"")</f>
        <v>-3.134653398372028</v>
      </c>
      <c r="R68" s="4" t="inlineStr">
        <is>
          <t>B0DGCVK1JL</t>
        </is>
      </c>
      <c r="S68" s="3" t="n">
        <v>134</v>
      </c>
      <c r="T68" s="5">
        <f>IFERROR(S68/F68,"")</f>
        <v>0.8072289156626506</v>
      </c>
      <c r="U68" s="3" t="n">
        <v>1198888</v>
      </c>
      <c r="V68" s="3" t="n">
        <v>12824</v>
      </c>
      <c r="W68" s="3" t="n">
        <v>711</v>
      </c>
      <c r="X68" s="6">
        <f>IFERROR(IF(ISNUMBER(P68),F68*P68,""),"")</f>
        <v>9.203524641297568</v>
      </c>
      <c r="Y68" s="2" t="inlineStr">
        <is>
          <t>购买基准计数少，先观察</t>
        </is>
      </c>
      <c r="Z68" s="2" t="inlineStr">
        <is>
          <t>核查词意图和主力ASIN；不凭比率判断购买优劣</t>
        </is>
      </c>
      <c r="AA68" s="3" t="n">
        <v>274</v>
      </c>
      <c r="AB68" s="3" t="n">
        <v>53</v>
      </c>
    </row>
    <row r="69">
      <c r="A69" s="3" t="n">
        <v>68</v>
      </c>
      <c r="B69" s="4" t="inlineStr">
        <is>
          <t>64 oz water bottle</t>
        </is>
      </c>
      <c r="C69" s="3" t="n">
        <v>88387</v>
      </c>
      <c r="D69" s="3" t="n">
        <v>1</v>
      </c>
      <c r="E69" s="3" t="n">
        <v>14731</v>
      </c>
      <c r="F69" s="3" t="n">
        <v>162</v>
      </c>
      <c r="G69" s="5">
        <f>F69/47159</f>
        <v>0.00343518734493946</v>
      </c>
      <c r="H69" s="3" t="n">
        <v>27</v>
      </c>
      <c r="I69" s="3" t="n">
        <v>5</v>
      </c>
      <c r="J69" s="5">
        <f>I69/3778</f>
        <v>0.0013234515616728428</v>
      </c>
      <c r="K69" s="5">
        <f>IFERROR(IF(AND(ISNUMBER(F69),ISNUMBER(E69),E69&gt;0),F69/E69,""),"")</f>
        <v>0.010997216753784535</v>
      </c>
      <c r="L69" s="5">
        <f>IFERROR(IF(AND(ISNUMBER(V69),ISNUMBER(U69),U69&gt;0),V69/U69,""),"")</f>
        <v>0.020063535505692322</v>
      </c>
      <c r="M69" s="6">
        <f>IFERROR(IF(AND(ISNUMBER(K69),ISNUMBER(L69)),(K69-L69)*100,""),"")</f>
        <v>-0.9066318751907786</v>
      </c>
      <c r="N69" s="5">
        <f>IFERROR(IF(AND(ISNUMBER(H69),ISNUMBER(F69),F69&gt;0),H69/F69,""),"")</f>
        <v>0.16666666666666666</v>
      </c>
      <c r="O69" s="5">
        <f>IFERROR(IF(AND(ISNUMBER(I69),ISNUMBER(F69),F69&gt;0),I69/F69,""),"")</f>
        <v>0.030864197530864196</v>
      </c>
      <c r="P69" s="5">
        <f>IFERROR(IF(AND(ISNUMBER(W69),ISNUMBER(V69),V69&gt;0),W69/V69,""),"")</f>
        <v>0.0575786848785748</v>
      </c>
      <c r="Q69" s="6">
        <f>IFERROR(IF(AND(ISNUMBER(O69),ISNUMBER(P69)),(O69-P69)*100,""),"")</f>
        <v>-2.6714487347710607</v>
      </c>
      <c r="R69" s="4" t="inlineStr">
        <is>
          <t>B0DGCVK1JL</t>
        </is>
      </c>
      <c r="S69" s="3" t="n">
        <v>162</v>
      </c>
      <c r="T69" s="5">
        <f>IFERROR(S69/F69,"")</f>
        <v>1.0</v>
      </c>
      <c r="U69" s="3" t="n">
        <v>2218602</v>
      </c>
      <c r="V69" s="3" t="n">
        <v>44513</v>
      </c>
      <c r="W69" s="3" t="n">
        <v>2563</v>
      </c>
      <c r="X69" s="6">
        <f>IFERROR(IF(ISNUMBER(P69),F69*P69,""),"")</f>
        <v>9.327746950329118</v>
      </c>
      <c r="Y69" s="2" t="inlineStr">
        <is>
          <t>购买基准计数少，先观察</t>
        </is>
      </c>
      <c r="Z69" s="2" t="inlineStr">
        <is>
          <t>核查词意图和主力ASIN；不凭比率判断购买优劣</t>
        </is>
      </c>
      <c r="AA69" s="3" t="n">
        <v>317</v>
      </c>
      <c r="AB69" s="3" t="n">
        <v>60</v>
      </c>
    </row>
    <row r="70">
      <c r="A70" s="3" t="n">
        <v>69</v>
      </c>
      <c r="B70" s="4" t="inlineStr">
        <is>
          <t>drink pitcher</t>
        </is>
      </c>
      <c r="C70" s="3" t="n">
        <v>9793</v>
      </c>
      <c r="D70" s="3" t="n">
        <v>4</v>
      </c>
      <c r="E70" s="3" t="n">
        <v>11466</v>
      </c>
      <c r="F70" s="3" t="n">
        <v>158</v>
      </c>
      <c r="G70" s="5">
        <f>F70/47159</f>
        <v>0.003350367904323671</v>
      </c>
      <c r="H70" s="3" t="n">
        <v>62</v>
      </c>
      <c r="I70" s="3" t="n">
        <v>24</v>
      </c>
      <c r="J70" s="5">
        <f>I70/3778</f>
        <v>0.006352567496029645</v>
      </c>
      <c r="K70" s="5">
        <f>IFERROR(IF(AND(ISNUMBER(F70),ISNUMBER(E70),E70&gt;0),F70/E70,""),"")</f>
        <v>0.013779870922728065</v>
      </c>
      <c r="L70" s="5">
        <f>IFERROR(IF(AND(ISNUMBER(V70),ISNUMBER(U70),U70&gt;0),V70/U70,""),"")</f>
        <v>0.012255442371859887</v>
      </c>
      <c r="M70" s="6">
        <f>IFERROR(IF(AND(ISNUMBER(K70),ISNUMBER(L70)),(K70-L70)*100,""),"")</f>
        <v>0.15244285508681787</v>
      </c>
      <c r="N70" s="5">
        <f>IFERROR(IF(AND(ISNUMBER(H70),ISNUMBER(F70),F70&gt;0),H70/F70,""),"")</f>
        <v>0.3924050632911392</v>
      </c>
      <c r="O70" s="5">
        <f>IFERROR(IF(AND(ISNUMBER(I70),ISNUMBER(F70),F70&gt;0),I70/F70,""),"")</f>
        <v>0.1518987341772152</v>
      </c>
      <c r="P70" s="5">
        <f>IFERROR(IF(AND(ISNUMBER(W70),ISNUMBER(V70),V70&gt;0),W70/V70,""),"")</f>
        <v>0.13313343328335833</v>
      </c>
      <c r="Q70" s="6">
        <f>IFERROR(IF(AND(ISNUMBER(O70),ISNUMBER(P70)),(O70-P70)*100,""),"")</f>
        <v>1.8765300893856862</v>
      </c>
      <c r="R70" s="4" t="inlineStr">
        <is>
          <t>B0DGCVK1JL</t>
        </is>
      </c>
      <c r="S70" s="3" t="n">
        <v>142</v>
      </c>
      <c r="T70" s="5">
        <f>IFERROR(S70/F70,"")</f>
        <v>0.8987341772151899</v>
      </c>
      <c r="U70" s="3" t="n">
        <v>272124</v>
      </c>
      <c r="V70" s="3" t="n">
        <v>3335</v>
      </c>
      <c r="W70" s="3" t="n">
        <v>444</v>
      </c>
      <c r="X70" s="6">
        <f>IFERROR(IF(ISNUMBER(P70),F70*P70,""),"")</f>
        <v>21.035082458770617</v>
      </c>
      <c r="Y70" s="2" t="inlineStr">
        <is>
          <t>CTR及购买比均不低于市场（描述）</t>
        </is>
      </c>
      <c r="Z70" s="2" t="inlineStr">
        <is>
          <t>确认相关性和表现稳定性；增长测试还需成本、利润与库存</t>
        </is>
      </c>
      <c r="AA70" s="3" t="n">
        <v>281</v>
      </c>
      <c r="AB70" s="3" t="n">
        <v>71</v>
      </c>
    </row>
    <row r="71">
      <c r="A71" s="3" t="n">
        <v>70</v>
      </c>
      <c r="B71" s="4" t="inlineStr">
        <is>
          <t>lemonade pitcher</t>
        </is>
      </c>
      <c r="C71" s="3" t="n">
        <v>4976</v>
      </c>
      <c r="D71" s="3" t="n">
        <v>2</v>
      </c>
      <c r="E71" s="3" t="n">
        <v>6113</v>
      </c>
      <c r="F71" s="3" t="n">
        <v>156</v>
      </c>
      <c r="G71" s="5">
        <f>F71/47159</f>
        <v>0.0033079581840157763</v>
      </c>
      <c r="H71" s="3" t="n">
        <v>54</v>
      </c>
      <c r="I71" s="3" t="n">
        <v>25</v>
      </c>
      <c r="J71" s="5">
        <f>I71/3778</f>
        <v>0.006617257808364214</v>
      </c>
      <c r="K71" s="5">
        <f>IFERROR(IF(AND(ISNUMBER(F71),ISNUMBER(E71),E71&gt;0),F71/E71,""),"")</f>
        <v>0.02551938491738917</v>
      </c>
      <c r="L71" s="5">
        <f>IFERROR(IF(AND(ISNUMBER(V71),ISNUMBER(U71),U71&gt;0),V71/U71,""),"")</f>
        <v>0.012846478368636168</v>
      </c>
      <c r="M71" s="6">
        <f>IFERROR(IF(AND(ISNUMBER(K71),ISNUMBER(L71)),(K71-L71)*100,""),"")</f>
        <v>1.2672906548753002</v>
      </c>
      <c r="N71" s="5">
        <f>IFERROR(IF(AND(ISNUMBER(H71),ISNUMBER(F71),F71&gt;0),H71/F71,""),"")</f>
        <v>0.34615384615384615</v>
      </c>
      <c r="O71" s="5">
        <f>IFERROR(IF(AND(ISNUMBER(I71),ISNUMBER(F71),F71&gt;0),I71/F71,""),"")</f>
        <v>0.16025641025641027</v>
      </c>
      <c r="P71" s="5">
        <f>IFERROR(IF(AND(ISNUMBER(W71),ISNUMBER(V71),V71&gt;0),W71/V71,""),"")</f>
        <v>0.12578258394991462</v>
      </c>
      <c r="Q71" s="6">
        <f>IFERROR(IF(AND(ISNUMBER(O71),ISNUMBER(P71)),(O71-P71)*100,""),"")</f>
        <v>3.4473826306495647</v>
      </c>
      <c r="R71" s="4" t="inlineStr">
        <is>
          <t>B0DGCVK1JL</t>
        </is>
      </c>
      <c r="S71" s="3" t="n">
        <v>140</v>
      </c>
      <c r="T71" s="5">
        <f>IFERROR(S71/F71,"")</f>
        <v>0.8974358974358975</v>
      </c>
      <c r="U71" s="3" t="n">
        <v>136769</v>
      </c>
      <c r="V71" s="3" t="n">
        <v>1757</v>
      </c>
      <c r="W71" s="3" t="n">
        <v>221</v>
      </c>
      <c r="X71" s="6">
        <f>IFERROR(IF(ISNUMBER(P71),F71*P71,""),"")</f>
        <v>19.62208309618668</v>
      </c>
      <c r="Y71" s="2" t="inlineStr">
        <is>
          <t>CTR及购买比均不低于市场（描述）</t>
        </is>
      </c>
      <c r="Z71" s="2" t="inlineStr">
        <is>
          <t>确认相关性和表现稳定性；增长测试还需成本、利润与库存</t>
        </is>
      </c>
      <c r="AA71" s="3" t="n">
        <v>328</v>
      </c>
      <c r="AB71" s="4" t="n"/>
    </row>
    <row r="72">
      <c r="A72" s="3" t="n">
        <v>71</v>
      </c>
      <c r="B72" s="4" t="inlineStr">
        <is>
          <t>glass water pitcher with lid</t>
        </is>
      </c>
      <c r="C72" s="3" t="n">
        <v>5527</v>
      </c>
      <c r="D72" s="3" t="n">
        <v>5</v>
      </c>
      <c r="E72" s="3" t="n">
        <v>9206</v>
      </c>
      <c r="F72" s="3" t="n">
        <v>154</v>
      </c>
      <c r="G72" s="5">
        <f>F72/47159</f>
        <v>0.003265548463707882</v>
      </c>
      <c r="H72" s="3" t="n">
        <v>42</v>
      </c>
      <c r="I72" s="3" t="n">
        <v>14</v>
      </c>
      <c r="J72" s="5">
        <f>I72/3778</f>
        <v>0.0037056643726839597</v>
      </c>
      <c r="K72" s="5">
        <f>IFERROR(IF(AND(ISNUMBER(F72),ISNUMBER(E72),E72&gt;0),F72/E72,""),"")</f>
        <v>0.01672822072561373</v>
      </c>
      <c r="L72" s="5">
        <f>IFERROR(IF(AND(ISNUMBER(V72),ISNUMBER(U72),U72&gt;0),V72/U72,""),"")</f>
        <v>0.01552503162841135</v>
      </c>
      <c r="M72" s="6">
        <f>IFERROR(IF(AND(ISNUMBER(K72),ISNUMBER(L72)),(K72-L72)*100,""),"")</f>
        <v>0.12031890972023801</v>
      </c>
      <c r="N72" s="5">
        <f>IFERROR(IF(AND(ISNUMBER(H72),ISNUMBER(F72),F72&gt;0),H72/F72,""),"")</f>
        <v>0.2727272727272727</v>
      </c>
      <c r="O72" s="5">
        <f>IFERROR(IF(AND(ISNUMBER(I72),ISNUMBER(F72),F72&gt;0),I72/F72,""),"")</f>
        <v>0.09090909090909091</v>
      </c>
      <c r="P72" s="5">
        <f>IFERROR(IF(AND(ISNUMBER(W72),ISNUMBER(V72),V72&gt;0),W72/V72,""),"")</f>
        <v>0.11175785797438882</v>
      </c>
      <c r="Q72" s="6">
        <f>IFERROR(IF(AND(ISNUMBER(O72),ISNUMBER(P72)),(O72-P72)*100,""),"")</f>
        <v>-2.084876706529791</v>
      </c>
      <c r="R72" s="4" t="inlineStr">
        <is>
          <t>B0DGCVK1JL</t>
        </is>
      </c>
      <c r="S72" s="3" t="n">
        <v>136</v>
      </c>
      <c r="T72" s="5">
        <f>IFERROR(S72/F72,"")</f>
        <v>0.8831168831168831</v>
      </c>
      <c r="U72" s="3" t="n">
        <v>165990</v>
      </c>
      <c r="V72" s="3" t="n">
        <v>2577</v>
      </c>
      <c r="W72" s="3" t="n">
        <v>288</v>
      </c>
      <c r="X72" s="6">
        <f>IFERROR(IF(ISNUMBER(P72),F72*P72,""),"")</f>
        <v>17.21071012805588</v>
      </c>
      <c r="Y72" s="2" t="inlineStr">
        <is>
          <t>CTR不低，购买比低于市场（描述）</t>
        </is>
      </c>
      <c r="Z72" s="2" t="inlineStr">
        <is>
          <t>查主力ASIN规格、功能、价格、库存及页面；原因待验证</t>
        </is>
      </c>
      <c r="AA72" s="3" t="n">
        <v>292</v>
      </c>
      <c r="AB72" s="3" t="n">
        <v>90</v>
      </c>
    </row>
    <row r="73">
      <c r="A73" s="3" t="n">
        <v>72</v>
      </c>
      <c r="B73" s="4" t="inlineStr">
        <is>
          <t>sun tea jar</t>
        </is>
      </c>
      <c r="C73" s="3" t="n">
        <v>5029</v>
      </c>
      <c r="D73" s="3" t="n">
        <v>8</v>
      </c>
      <c r="E73" s="3" t="n">
        <v>18793</v>
      </c>
      <c r="F73" s="3" t="n">
        <v>154</v>
      </c>
      <c r="G73" s="5">
        <f>F73/47159</f>
        <v>0.003265548463707882</v>
      </c>
      <c r="H73" s="3" t="n">
        <v>44</v>
      </c>
      <c r="I73" s="3" t="n">
        <v>19</v>
      </c>
      <c r="J73" s="5">
        <f>I73/3778</f>
        <v>0.005029115934356803</v>
      </c>
      <c r="K73" s="5">
        <f>IFERROR(IF(AND(ISNUMBER(F73),ISNUMBER(E73),E73&gt;0),F73/E73,""),"")</f>
        <v>0.008194540520406534</v>
      </c>
      <c r="L73" s="5">
        <f>IFERROR(IF(AND(ISNUMBER(V73),ISNUMBER(U73),U73&gt;0),V73/U73,""),"")</f>
        <v>0.00680548445255637</v>
      </c>
      <c r="M73" s="6">
        <f>IFERROR(IF(AND(ISNUMBER(K73),ISNUMBER(L73)),(K73-L73)*100,""),"")</f>
        <v>0.13890560678501643</v>
      </c>
      <c r="N73" s="5">
        <f>IFERROR(IF(AND(ISNUMBER(H73),ISNUMBER(F73),F73&gt;0),H73/F73,""),"")</f>
        <v>0.2857142857142857</v>
      </c>
      <c r="O73" s="5">
        <f>IFERROR(IF(AND(ISNUMBER(I73),ISNUMBER(F73),F73&gt;0),I73/F73,""),"")</f>
        <v>0.12337662337662338</v>
      </c>
      <c r="P73" s="5">
        <f>IFERROR(IF(AND(ISNUMBER(W73),ISNUMBER(V73),V73&gt;0),W73/V73,""),"")</f>
        <v>0.12837285363859363</v>
      </c>
      <c r="Q73" s="6">
        <f>IFERROR(IF(AND(ISNUMBER(O73),ISNUMBER(P73)),(O73-P73)*100,""),"")</f>
        <v>-0.49962302619702553</v>
      </c>
      <c r="R73" s="4" t="inlineStr">
        <is>
          <t>B0DGCVK1JL</t>
        </is>
      </c>
      <c r="S73" s="3" t="n">
        <v>127</v>
      </c>
      <c r="T73" s="5">
        <f>IFERROR(S73/F73,"")</f>
        <v>0.8246753246753247</v>
      </c>
      <c r="U73" s="3" t="n">
        <v>179708</v>
      </c>
      <c r="V73" s="3" t="n">
        <v>1223</v>
      </c>
      <c r="W73" s="3" t="n">
        <v>157</v>
      </c>
      <c r="X73" s="6">
        <f>IFERROR(IF(ISNUMBER(P73),F73*P73,""),"")</f>
        <v>19.769419460343418</v>
      </c>
      <c r="Y73" s="2" t="inlineStr">
        <is>
          <t>CTR不低，购买比低于市场（描述）</t>
        </is>
      </c>
      <c r="Z73" s="2" t="inlineStr">
        <is>
          <t>查主力ASIN规格、功能、价格、库存及页面；原因待验证</t>
        </is>
      </c>
      <c r="AA73" s="3" t="n">
        <v>264</v>
      </c>
      <c r="AB73" s="3" t="n">
        <v>45</v>
      </c>
    </row>
    <row r="74">
      <c r="A74" s="3" t="n">
        <v>73</v>
      </c>
      <c r="B74" s="4" t="inlineStr">
        <is>
          <t>mason jar lids</t>
        </is>
      </c>
      <c r="C74" s="3" t="n">
        <v>98523</v>
      </c>
      <c r="D74" s="3" t="n">
        <v>4</v>
      </c>
      <c r="E74" s="3" t="n">
        <v>17289</v>
      </c>
      <c r="F74" s="3" t="n">
        <v>149</v>
      </c>
      <c r="G74" s="5">
        <f>F74/47159</f>
        <v>0.0031595241629381455</v>
      </c>
      <c r="H74" s="3" t="n">
        <v>57</v>
      </c>
      <c r="I74" s="3" t="n">
        <v>8</v>
      </c>
      <c r="J74" s="5">
        <f>I74/3778</f>
        <v>0.0021175224986765486</v>
      </c>
      <c r="K74" s="5">
        <f>IFERROR(IF(AND(ISNUMBER(F74),ISNUMBER(E74),E74&gt;0),F74/E74,""),"")</f>
        <v>0.008618196541153334</v>
      </c>
      <c r="L74" s="5">
        <f>IFERROR(IF(AND(ISNUMBER(V74),ISNUMBER(U74),U74&gt;0),V74/U74,""),"")</f>
        <v>0.015586550576034173</v>
      </c>
      <c r="M74" s="6">
        <f>IFERROR(IF(AND(ISNUMBER(K74),ISNUMBER(L74)),(K74-L74)*100,""),"")</f>
        <v>-0.6968354034880839</v>
      </c>
      <c r="N74" s="5">
        <f>IFERROR(IF(AND(ISNUMBER(H74),ISNUMBER(F74),F74&gt;0),H74/F74,""),"")</f>
        <v>0.3825503355704698</v>
      </c>
      <c r="O74" s="5">
        <f>IFERROR(IF(AND(ISNUMBER(I74),ISNUMBER(F74),F74&gt;0),I74/F74,""),"")</f>
        <v>0.053691275167785234</v>
      </c>
      <c r="P74" s="5">
        <f>IFERROR(IF(AND(ISNUMBER(W74),ISNUMBER(V74),V74&gt;0),W74/V74,""),"")</f>
        <v>0.15088486574450774</v>
      </c>
      <c r="Q74" s="6">
        <f>IFERROR(IF(AND(ISNUMBER(O74),ISNUMBER(P74)),(O74-P74)*100,""),"")</f>
        <v>-9.71935905767225</v>
      </c>
      <c r="R74" s="4" t="inlineStr">
        <is>
          <t>B0DGCVK1JL</t>
        </is>
      </c>
      <c r="S74" s="3" t="n">
        <v>138</v>
      </c>
      <c r="T74" s="5">
        <f>IFERROR(S74/F74,"")</f>
        <v>0.9261744966442953</v>
      </c>
      <c r="U74" s="3" t="n">
        <v>2523201</v>
      </c>
      <c r="V74" s="3" t="n">
        <v>39328</v>
      </c>
      <c r="W74" s="3" t="n">
        <v>5934</v>
      </c>
      <c r="X74" s="6">
        <f>IFERROR(IF(ISNUMBER(P74),F74*P74,""),"")</f>
        <v>22.481844995931652</v>
      </c>
      <c r="Y74" s="2" t="inlineStr">
        <is>
          <t>CTR及购买比均低于市场（描述）</t>
        </is>
      </c>
      <c r="Z74" s="2" t="inlineStr">
        <is>
          <t>先查词意图与主力ASIN，再核查商品和展示条件</t>
        </is>
      </c>
      <c r="AA74" s="3" t="n">
        <v>277</v>
      </c>
      <c r="AB74" s="3" t="n">
        <v>50</v>
      </c>
    </row>
    <row r="75">
      <c r="A75" s="3" t="n">
        <v>74</v>
      </c>
      <c r="B75" s="4" t="inlineStr">
        <is>
          <t>beverage dispenser</t>
        </is>
      </c>
      <c r="C75" s="3" t="n">
        <v>44367</v>
      </c>
      <c r="D75" s="3" t="n">
        <v>7</v>
      </c>
      <c r="E75" s="3" t="n">
        <v>25171</v>
      </c>
      <c r="F75" s="3" t="n">
        <v>148</v>
      </c>
      <c r="G75" s="5">
        <f>F75/47159</f>
        <v>0.003138319302784198</v>
      </c>
      <c r="H75" s="3" t="n">
        <v>48</v>
      </c>
      <c r="I75" s="3" t="n">
        <v>8</v>
      </c>
      <c r="J75" s="5">
        <f>I75/3778</f>
        <v>0.0021175224986765486</v>
      </c>
      <c r="K75" s="5">
        <f>IFERROR(IF(AND(ISNUMBER(F75),ISNUMBER(E75),E75&gt;0),F75/E75,""),"")</f>
        <v>0.005879782289142267</v>
      </c>
      <c r="L75" s="5">
        <f>IFERROR(IF(AND(ISNUMBER(V75),ISNUMBER(U75),U75&gt;0),V75/U75,""),"")</f>
        <v>0.010912617661377888</v>
      </c>
      <c r="M75" s="6">
        <f>IFERROR(IF(AND(ISNUMBER(K75),ISNUMBER(L75)),(K75-L75)*100,""),"")</f>
        <v>-0.5032835372235621</v>
      </c>
      <c r="N75" s="5">
        <f>IFERROR(IF(AND(ISNUMBER(H75),ISNUMBER(F75),F75&gt;0),H75/F75,""),"")</f>
        <v>0.32432432432432434</v>
      </c>
      <c r="O75" s="5">
        <f>IFERROR(IF(AND(ISNUMBER(I75),ISNUMBER(F75),F75&gt;0),I75/F75,""),"")</f>
        <v>0.05405405405405406</v>
      </c>
      <c r="P75" s="5">
        <f>IFERROR(IF(AND(ISNUMBER(W75),ISNUMBER(V75),V75&gt;0),W75/V75,""),"")</f>
        <v>0.07557525860249102</v>
      </c>
      <c r="Q75" s="6">
        <f>IFERROR(IF(AND(ISNUMBER(O75),ISNUMBER(P75)),(O75-P75)*100,""),"")</f>
        <v>-2.1521204548436965</v>
      </c>
      <c r="R75" s="4" t="inlineStr">
        <is>
          <t>B0DGCVK1JL</t>
        </is>
      </c>
      <c r="S75" s="3" t="n">
        <v>90</v>
      </c>
      <c r="T75" s="5">
        <f>IFERROR(S75/F75,"")</f>
        <v>0.6081081081081081</v>
      </c>
      <c r="U75" s="3" t="n">
        <v>1302254</v>
      </c>
      <c r="V75" s="3" t="n">
        <v>14211</v>
      </c>
      <c r="W75" s="3" t="n">
        <v>1074</v>
      </c>
      <c r="X75" s="6">
        <f>IFERROR(IF(ISNUMBER(P75),F75*P75,""),"")</f>
        <v>11.185138273168672</v>
      </c>
      <c r="Y75" s="2" t="inlineStr">
        <is>
          <t>CTR及购买比均低于市场（描述）</t>
        </is>
      </c>
      <c r="Z75" s="2" t="inlineStr">
        <is>
          <t>先查词意图与主力ASIN，再核查商品和展示条件</t>
        </is>
      </c>
      <c r="AA75" s="3" t="n">
        <v>290</v>
      </c>
      <c r="AB75" s="3" t="n">
        <v>34</v>
      </c>
    </row>
    <row r="76">
      <c r="A76" s="3" t="n">
        <v>75</v>
      </c>
      <c r="B76" s="4" t="inlineStr">
        <is>
          <t>glass carafe with lid</t>
        </is>
      </c>
      <c r="C76" s="3" t="n">
        <v>8849</v>
      </c>
      <c r="D76" s="3" t="n">
        <v>2</v>
      </c>
      <c r="E76" s="3" t="n">
        <v>10364</v>
      </c>
      <c r="F76" s="3" t="n">
        <v>145</v>
      </c>
      <c r="G76" s="5">
        <f>F76/47159</f>
        <v>0.003074704722322356</v>
      </c>
      <c r="H76" s="3" t="n">
        <v>53</v>
      </c>
      <c r="I76" s="3" t="n">
        <v>21</v>
      </c>
      <c r="J76" s="5">
        <f>I76/3778</f>
        <v>0.00555849655902594</v>
      </c>
      <c r="K76" s="5">
        <f>IFERROR(IF(AND(ISNUMBER(F76),ISNUMBER(E76),E76&gt;0),F76/E76,""),"")</f>
        <v>0.013990737167116943</v>
      </c>
      <c r="L76" s="5">
        <f>IFERROR(IF(AND(ISNUMBER(V76),ISNUMBER(U76),U76&gt;0),V76/U76,""),"")</f>
        <v>0.01583185102397406</v>
      </c>
      <c r="M76" s="6">
        <f>IFERROR(IF(AND(ISNUMBER(K76),ISNUMBER(L76)),(K76-L76)*100,""),"")</f>
        <v>-0.18411138568571167</v>
      </c>
      <c r="N76" s="5">
        <f>IFERROR(IF(AND(ISNUMBER(H76),ISNUMBER(F76),F76&gt;0),H76/F76,""),"")</f>
        <v>0.36551724137931035</v>
      </c>
      <c r="O76" s="5">
        <f>IFERROR(IF(AND(ISNUMBER(I76),ISNUMBER(F76),F76&gt;0),I76/F76,""),"")</f>
        <v>0.14482758620689656</v>
      </c>
      <c r="P76" s="5">
        <f>IFERROR(IF(AND(ISNUMBER(W76),ISNUMBER(V76),V76&gt;0),W76/V76,""),"")</f>
        <v>0.10564255530698484</v>
      </c>
      <c r="Q76" s="6">
        <f>IFERROR(IF(AND(ISNUMBER(O76),ISNUMBER(P76)),(O76-P76)*100,""),"")</f>
        <v>3.9185030899911726</v>
      </c>
      <c r="R76" s="4" t="inlineStr">
        <is>
          <t>B0DGCVK1JL</t>
        </is>
      </c>
      <c r="S76" s="3" t="n">
        <v>144</v>
      </c>
      <c r="T76" s="5">
        <f>IFERROR(S76/F76,"")</f>
        <v>0.993103448275862</v>
      </c>
      <c r="U76" s="3" t="n">
        <v>254108</v>
      </c>
      <c r="V76" s="3" t="n">
        <v>4023</v>
      </c>
      <c r="W76" s="3" t="n">
        <v>425</v>
      </c>
      <c r="X76" s="6">
        <f>IFERROR(IF(ISNUMBER(P76),F76*P76,""),"")</f>
        <v>15.318170519512801</v>
      </c>
      <c r="Y76" s="2" t="inlineStr">
        <is>
          <t>CTR低，购买比不低于市场（描述）</t>
        </is>
      </c>
      <c r="Z76" s="2" t="inlineStr">
        <is>
          <t>核查展示位置、主图标题、价位及竞争构成</t>
        </is>
      </c>
      <c r="AA76" s="3" t="n">
        <v>308</v>
      </c>
      <c r="AB76" s="3" t="n">
        <v>80</v>
      </c>
    </row>
    <row r="77">
      <c r="A77" s="3" t="n">
        <v>76</v>
      </c>
      <c r="B77" s="4" t="inlineStr">
        <is>
          <t>kitchen utensils</t>
        </is>
      </c>
      <c r="C77" s="3" t="n">
        <v>136597</v>
      </c>
      <c r="D77" s="3" t="n">
        <v>1</v>
      </c>
      <c r="E77" s="3" t="n">
        <v>7746</v>
      </c>
      <c r="F77" s="3" t="n">
        <v>144</v>
      </c>
      <c r="G77" s="5">
        <f>F77/47159</f>
        <v>0.003053499862168409</v>
      </c>
      <c r="H77" s="3" t="n">
        <v>68</v>
      </c>
      <c r="I77" s="3" t="n">
        <v>7</v>
      </c>
      <c r="J77" s="5">
        <f>I77/3778</f>
        <v>0.0018528321863419798</v>
      </c>
      <c r="K77" s="5">
        <f>IFERROR(IF(AND(ISNUMBER(F77),ISNUMBER(E77),E77&gt;0),F77/E77,""),"")</f>
        <v>0.018590240123934933</v>
      </c>
      <c r="L77" s="5">
        <f>IFERROR(IF(AND(ISNUMBER(V77),ISNUMBER(U77),U77&gt;0),V77/U77,""),"")</f>
        <v>0.010877581174578618</v>
      </c>
      <c r="M77" s="6">
        <f>IFERROR(IF(AND(ISNUMBER(K77),ISNUMBER(L77)),(K77-L77)*100,""),"")</f>
        <v>0.7712658949356315</v>
      </c>
      <c r="N77" s="5">
        <f>IFERROR(IF(AND(ISNUMBER(H77),ISNUMBER(F77),F77&gt;0),H77/F77,""),"")</f>
        <v>0.4722222222222222</v>
      </c>
      <c r="O77" s="5">
        <f>IFERROR(IF(AND(ISNUMBER(I77),ISNUMBER(F77),F77&gt;0),I77/F77,""),"")</f>
        <v>0.04861111111111111</v>
      </c>
      <c r="P77" s="5">
        <f>IFERROR(IF(AND(ISNUMBER(W77),ISNUMBER(V77),V77&gt;0),W77/V77,""),"")</f>
        <v>0.07689016073386644</v>
      </c>
      <c r="Q77" s="6">
        <f>IFERROR(IF(AND(ISNUMBER(O77),ISNUMBER(P77)),(O77-P77)*100,""),"")</f>
        <v>-2.827904962275533</v>
      </c>
      <c r="R77" s="4" t="inlineStr">
        <is>
          <t>B0DGCVK1JL</t>
        </is>
      </c>
      <c r="S77" s="3" t="n">
        <v>144</v>
      </c>
      <c r="T77" s="5">
        <f>IFERROR(S77/F77,"")</f>
        <v>1.0</v>
      </c>
      <c r="U77" s="3" t="n">
        <v>3437437</v>
      </c>
      <c r="V77" s="3" t="n">
        <v>37391</v>
      </c>
      <c r="W77" s="3" t="n">
        <v>2875</v>
      </c>
      <c r="X77" s="6">
        <f>IFERROR(IF(ISNUMBER(P77),F77*P77,""),"")</f>
        <v>11.072183145676767</v>
      </c>
      <c r="Y77" s="2" t="inlineStr">
        <is>
          <t>CTR不低，购买比低于市场（描述）</t>
        </is>
      </c>
      <c r="Z77" s="2" t="inlineStr">
        <is>
          <t>查主力ASIN规格、功能、价格、库存及页面；原因待验证</t>
        </is>
      </c>
      <c r="AA77" s="3" t="n">
        <v>272</v>
      </c>
      <c r="AB77" s="3" t="n">
        <v>98</v>
      </c>
    </row>
    <row r="78">
      <c r="A78" s="3" t="n">
        <v>77</v>
      </c>
      <c r="B78" s="4" t="inlineStr">
        <is>
          <t>pitcher with lid 1 gallon</t>
        </is>
      </c>
      <c r="C78" s="3" t="n">
        <v>9369</v>
      </c>
      <c r="D78" s="3" t="n">
        <v>4</v>
      </c>
      <c r="E78" s="3" t="n">
        <v>9619</v>
      </c>
      <c r="F78" s="3" t="n">
        <v>143</v>
      </c>
      <c r="G78" s="5">
        <f>F78/47159</f>
        <v>0.003032295002014462</v>
      </c>
      <c r="H78" s="3" t="n">
        <v>44</v>
      </c>
      <c r="I78" s="3" t="n">
        <v>15</v>
      </c>
      <c r="J78" s="5">
        <f>I78/3778</f>
        <v>0.003970354685018529</v>
      </c>
      <c r="K78" s="5">
        <f>IFERROR(IF(AND(ISNUMBER(F78),ISNUMBER(E78),E78&gt;0),F78/E78,""),"")</f>
        <v>0.014866410229753612</v>
      </c>
      <c r="L78" s="5">
        <f>IFERROR(IF(AND(ISNUMBER(V78),ISNUMBER(U78),U78&gt;0),V78/U78,""),"")</f>
        <v>0.014467296882984159</v>
      </c>
      <c r="M78" s="6">
        <f>IFERROR(IF(AND(ISNUMBER(K78),ISNUMBER(L78)),(K78-L78)*100,""),"")</f>
        <v>0.0399113346769453</v>
      </c>
      <c r="N78" s="5">
        <f>IFERROR(IF(AND(ISNUMBER(H78),ISNUMBER(F78),F78&gt;0),H78/F78,""),"")</f>
        <v>0.3076923076923077</v>
      </c>
      <c r="O78" s="5">
        <f>IFERROR(IF(AND(ISNUMBER(I78),ISNUMBER(F78),F78&gt;0),I78/F78,""),"")</f>
        <v>0.1048951048951049</v>
      </c>
      <c r="P78" s="5">
        <f>IFERROR(IF(AND(ISNUMBER(W78),ISNUMBER(V78),V78&gt;0),W78/V78,""),"")</f>
        <v>0.1586644591611479</v>
      </c>
      <c r="Q78" s="6">
        <f>IFERROR(IF(AND(ISNUMBER(O78),ISNUMBER(P78)),(O78-P78)*100,""),"")</f>
        <v>-5.376935426604302</v>
      </c>
      <c r="R78" s="4" t="inlineStr">
        <is>
          <t>B0DGCVK1JL</t>
        </is>
      </c>
      <c r="S78" s="3" t="n">
        <v>125</v>
      </c>
      <c r="T78" s="5">
        <f>IFERROR(S78/F78,"")</f>
        <v>0.8741258741258742</v>
      </c>
      <c r="U78" s="3" t="n">
        <v>250496</v>
      </c>
      <c r="V78" s="3" t="n">
        <v>3624</v>
      </c>
      <c r="W78" s="3" t="n">
        <v>575</v>
      </c>
      <c r="X78" s="6">
        <f>IFERROR(IF(ISNUMBER(P78),F78*P78,""),"")</f>
        <v>22.68901766004415</v>
      </c>
      <c r="Y78" s="2" t="inlineStr">
        <is>
          <t>CTR不低，购买比低于市场（描述）</t>
        </is>
      </c>
      <c r="Z78" s="2" t="inlineStr">
        <is>
          <t>查主力ASIN规格、功能、价格、库存及页面；原因待验证</t>
        </is>
      </c>
      <c r="AA78" s="3" t="n">
        <v>260</v>
      </c>
      <c r="AB78" s="3" t="n">
        <v>85</v>
      </c>
    </row>
    <row r="79">
      <c r="A79" s="3" t="n">
        <v>78</v>
      </c>
      <c r="B79" s="4" t="inlineStr">
        <is>
          <t>wide mouth mason jars</t>
        </is>
      </c>
      <c r="C79" s="3" t="n">
        <v>58065</v>
      </c>
      <c r="D79" s="3" t="n">
        <v>2</v>
      </c>
      <c r="E79" s="3" t="n">
        <v>18030</v>
      </c>
      <c r="F79" s="3" t="n">
        <v>143</v>
      </c>
      <c r="G79" s="5">
        <f>F79/47159</f>
        <v>0.003032295002014462</v>
      </c>
      <c r="H79" s="3" t="n">
        <v>41</v>
      </c>
      <c r="I79" s="3" t="n">
        <v>2</v>
      </c>
      <c r="J79" s="5">
        <f>I79/3778</f>
        <v>0.0005293806246691371</v>
      </c>
      <c r="K79" s="5">
        <f>IFERROR(IF(AND(ISNUMBER(F79),ISNUMBER(E79),E79&gt;0),F79/E79,""),"")</f>
        <v>0.007931225734886301</v>
      </c>
      <c r="L79" s="5">
        <f>IFERROR(IF(AND(ISNUMBER(V79),ISNUMBER(U79),U79&gt;0),V79/U79,""),"")</f>
        <v>0.015137169937011676</v>
      </c>
      <c r="M79" s="6">
        <f>IFERROR(IF(AND(ISNUMBER(K79),ISNUMBER(L79)),(K79-L79)*100,""),"")</f>
        <v>-0.7205944202125374</v>
      </c>
      <c r="N79" s="5">
        <f>IFERROR(IF(AND(ISNUMBER(H79),ISNUMBER(F79),F79&gt;0),H79/F79,""),"")</f>
        <v>0.2867132867132867</v>
      </c>
      <c r="O79" s="5">
        <f>IFERROR(IF(AND(ISNUMBER(I79),ISNUMBER(F79),F79&gt;0),I79/F79,""),"")</f>
        <v>0.013986013986013986</v>
      </c>
      <c r="P79" s="5">
        <f>IFERROR(IF(AND(ISNUMBER(W79),ISNUMBER(V79),V79&gt;0),W79/V79,""),"")</f>
        <v>0.11022964509394571</v>
      </c>
      <c r="Q79" s="6">
        <f>IFERROR(IF(AND(ISNUMBER(O79),ISNUMBER(P79)),(O79-P79)*100,""),"")</f>
        <v>-9.624363110793173</v>
      </c>
      <c r="R79" s="4" t="inlineStr">
        <is>
          <t>B0DGCVK1JL</t>
        </is>
      </c>
      <c r="S79" s="3" t="n">
        <v>125</v>
      </c>
      <c r="T79" s="5">
        <f>IFERROR(S79/F79,"")</f>
        <v>0.8741258741258742</v>
      </c>
      <c r="U79" s="3" t="n">
        <v>1582198</v>
      </c>
      <c r="V79" s="3" t="n">
        <v>23950</v>
      </c>
      <c r="W79" s="3" t="n">
        <v>2640</v>
      </c>
      <c r="X79" s="6">
        <f>IFERROR(IF(ISNUMBER(P79),F79*P79,""),"")</f>
        <v>15.762839248434236</v>
      </c>
      <c r="Y79" s="2" t="inlineStr">
        <is>
          <t>CTR及购买比均低于市场（描述）</t>
        </is>
      </c>
      <c r="Z79" s="2" t="inlineStr">
        <is>
          <t>先查词意图与主力ASIN，再核查商品和展示条件</t>
        </is>
      </c>
      <c r="AA79" s="3" t="n">
        <v>330</v>
      </c>
      <c r="AB79" s="3" t="n">
        <v>47</v>
      </c>
    </row>
    <row r="80">
      <c r="A80" s="3" t="n">
        <v>79</v>
      </c>
      <c r="B80" s="4" t="inlineStr">
        <is>
          <t>canning jars</t>
        </is>
      </c>
      <c r="C80" s="3" t="n">
        <v>117631</v>
      </c>
      <c r="D80" s="3" t="n">
        <v>2</v>
      </c>
      <c r="E80" s="3" t="n">
        <v>35135</v>
      </c>
      <c r="F80" s="3" t="n">
        <v>142</v>
      </c>
      <c r="G80" s="5">
        <f>F80/47159</f>
        <v>0.0030110901418605143</v>
      </c>
      <c r="H80" s="3" t="n">
        <v>64</v>
      </c>
      <c r="I80" s="3" t="n">
        <v>5</v>
      </c>
      <c r="J80" s="5">
        <f>I80/3778</f>
        <v>0.0013234515616728428</v>
      </c>
      <c r="K80" s="5">
        <f>IFERROR(IF(AND(ISNUMBER(F80),ISNUMBER(E80),E80&gt;0),F80/E80,""),"")</f>
        <v>0.004041554005976946</v>
      </c>
      <c r="L80" s="5">
        <f>IFERROR(IF(AND(ISNUMBER(V80),ISNUMBER(U80),U80&gt;0),V80/U80,""),"")</f>
        <v>0.011284166183910217</v>
      </c>
      <c r="M80" s="6">
        <f>IFERROR(IF(AND(ISNUMBER(K80),ISNUMBER(L80)),(K80-L80)*100,""),"")</f>
        <v>-0.7242612177933271</v>
      </c>
      <c r="N80" s="5">
        <f>IFERROR(IF(AND(ISNUMBER(H80),ISNUMBER(F80),F80&gt;0),H80/F80,""),"")</f>
        <v>0.4507042253521127</v>
      </c>
      <c r="O80" s="5">
        <f>IFERROR(IF(AND(ISNUMBER(I80),ISNUMBER(F80),F80&gt;0),I80/F80,""),"")</f>
        <v>0.035211267605633804</v>
      </c>
      <c r="P80" s="5">
        <f>IFERROR(IF(AND(ISNUMBER(W80),ISNUMBER(V80),V80&gt;0),W80/V80,""),"")</f>
        <v>0.09616786028395527</v>
      </c>
      <c r="Q80" s="6">
        <f>IFERROR(IF(AND(ISNUMBER(O80),ISNUMBER(P80)),(O80-P80)*100,""),"")</f>
        <v>-6.095659267832146</v>
      </c>
      <c r="R80" s="4" t="inlineStr">
        <is>
          <t>B0DGCVK1JL</t>
        </is>
      </c>
      <c r="S80" s="3" t="n">
        <v>140</v>
      </c>
      <c r="T80" s="5">
        <f>IFERROR(S80/F80,"")</f>
        <v>0.9859154929577465</v>
      </c>
      <c r="U80" s="3" t="n">
        <v>3526623</v>
      </c>
      <c r="V80" s="3" t="n">
        <v>39795</v>
      </c>
      <c r="W80" s="3" t="n">
        <v>3827</v>
      </c>
      <c r="X80" s="6">
        <f>IFERROR(IF(ISNUMBER(P80),F80*P80,""),"")</f>
        <v>13.655836160321648</v>
      </c>
      <c r="Y80" s="2" t="inlineStr">
        <is>
          <t>CTR及购买比均低于市场（描述）</t>
        </is>
      </c>
      <c r="Z80" s="2" t="inlineStr">
        <is>
          <t>先查词意图与主力ASIN，再核查商品和展示条件</t>
        </is>
      </c>
      <c r="AA80" s="3" t="n">
        <v>311</v>
      </c>
      <c r="AB80" s="3" t="n">
        <v>21</v>
      </c>
    </row>
    <row r="81">
      <c r="A81" s="3" t="n">
        <v>80</v>
      </c>
      <c r="B81" s="4" t="inlineStr">
        <is>
          <t>kitchen must haves</t>
        </is>
      </c>
      <c r="C81" s="3" t="n">
        <v>47985</v>
      </c>
      <c r="D81" s="3" t="n">
        <v>1</v>
      </c>
      <c r="E81" s="3" t="n">
        <v>5914</v>
      </c>
      <c r="F81" s="3" t="n">
        <v>139</v>
      </c>
      <c r="G81" s="5">
        <f>F81/47159</f>
        <v>0.0029474755613986725</v>
      </c>
      <c r="H81" s="3" t="n">
        <v>75</v>
      </c>
      <c r="I81" s="3" t="n">
        <v>1</v>
      </c>
      <c r="J81" s="5">
        <f>I81/3778</f>
        <v>0.00026469031233456857</v>
      </c>
      <c r="K81" s="5">
        <f>IFERROR(IF(AND(ISNUMBER(F81),ISNUMBER(E81),E81&gt;0),F81/E81,""),"")</f>
        <v>0.02350355089617856</v>
      </c>
      <c r="L81" s="5">
        <f>IFERROR(IF(AND(ISNUMBER(V81),ISNUMBER(U81),U81&gt;0),V81/U81,""),"")</f>
        <v>0.014410225019870817</v>
      </c>
      <c r="M81" s="6">
        <f>IFERROR(IF(AND(ISNUMBER(K81),ISNUMBER(L81)),(K81-L81)*100,""),"")</f>
        <v>0.9093325876307743</v>
      </c>
      <c r="N81" s="5">
        <f>IFERROR(IF(AND(ISNUMBER(H81),ISNUMBER(F81),F81&gt;0),H81/F81,""),"")</f>
        <v>0.539568345323741</v>
      </c>
      <c r="O81" s="5">
        <f>IFERROR(IF(AND(ISNUMBER(I81),ISNUMBER(F81),F81&gt;0),I81/F81,""),"")</f>
        <v>0.007194244604316547</v>
      </c>
      <c r="P81" s="5">
        <f>IFERROR(IF(AND(ISNUMBER(W81),ISNUMBER(V81),V81&gt;0),W81/V81,""),"")</f>
        <v>0.02022443415963989</v>
      </c>
      <c r="Q81" s="6">
        <f>IFERROR(IF(AND(ISNUMBER(O81),ISNUMBER(P81)),(O81-P81)*100,""),"")</f>
        <v>-1.3030189555323344</v>
      </c>
      <c r="R81" s="4" t="inlineStr">
        <is>
          <t>B0DGCVK1JL</t>
        </is>
      </c>
      <c r="S81" s="3" t="n">
        <v>139</v>
      </c>
      <c r="T81" s="5">
        <f>IFERROR(S81/F81,"")</f>
        <v>1.0</v>
      </c>
      <c r="U81" s="3" t="n">
        <v>1094570</v>
      </c>
      <c r="V81" s="3" t="n">
        <v>15773</v>
      </c>
      <c r="W81" s="3" t="n">
        <v>319</v>
      </c>
      <c r="X81" s="6">
        <f>IFERROR(IF(ISNUMBER(P81),F81*P81,""),"")</f>
        <v>2.8111963481899447</v>
      </c>
      <c r="Y81" s="2" t="inlineStr">
        <is>
          <t>购买基准计数少，先观察</t>
        </is>
      </c>
      <c r="Z81" s="2" t="inlineStr">
        <is>
          <t>核查词意图和主力ASIN；不凭比率判断购买优劣</t>
        </is>
      </c>
      <c r="AA81" s="3" t="n">
        <v>337</v>
      </c>
      <c r="AB81" s="4" t="n"/>
    </row>
    <row r="82">
      <c r="A82" s="3" t="n">
        <v>81</v>
      </c>
      <c r="B82" s="4" t="inlineStr">
        <is>
          <t>kitchen organization</t>
        </is>
      </c>
      <c r="C82" s="3" t="n">
        <v>252975</v>
      </c>
      <c r="D82" s="3" t="n">
        <v>1</v>
      </c>
      <c r="E82" s="3" t="n">
        <v>6080</v>
      </c>
      <c r="F82" s="3" t="n">
        <v>138</v>
      </c>
      <c r="G82" s="5">
        <f>F82/47159</f>
        <v>0.0029262707012447254</v>
      </c>
      <c r="H82" s="3" t="n">
        <v>67</v>
      </c>
      <c r="I82" s="3" t="n">
        <v>1</v>
      </c>
      <c r="J82" s="5">
        <f>I82/3778</f>
        <v>0.00026469031233456857</v>
      </c>
      <c r="K82" s="5">
        <f>IFERROR(IF(AND(ISNUMBER(F82),ISNUMBER(E82),E82&gt;0),F82/E82,""),"")</f>
        <v>0.022697368421052633</v>
      </c>
      <c r="L82" s="5">
        <f>IFERROR(IF(AND(ISNUMBER(V82),ISNUMBER(U82),U82&gt;0),V82/U82,""),"")</f>
        <v>0.014260144038158258</v>
      </c>
      <c r="M82" s="6">
        <f>IFERROR(IF(AND(ISNUMBER(K82),ISNUMBER(L82)),(K82-L82)*100,""),"")</f>
        <v>0.8437224382894374</v>
      </c>
      <c r="N82" s="5">
        <f>IFERROR(IF(AND(ISNUMBER(H82),ISNUMBER(F82),F82&gt;0),H82/F82,""),"")</f>
        <v>0.4855072463768116</v>
      </c>
      <c r="O82" s="5">
        <f>IFERROR(IF(AND(ISNUMBER(I82),ISNUMBER(F82),F82&gt;0),I82/F82,""),"")</f>
        <v>0.007246376811594203</v>
      </c>
      <c r="P82" s="5">
        <f>IFERROR(IF(AND(ISNUMBER(W82),ISNUMBER(V82),V82&gt;0),W82/V82,""),"")</f>
        <v>0.03058613697408512</v>
      </c>
      <c r="Q82" s="6">
        <f>IFERROR(IF(AND(ISNUMBER(O82),ISNUMBER(P82)),(O82-P82)*100,""),"")</f>
        <v>-2.3339760162490917</v>
      </c>
      <c r="R82" s="4" t="inlineStr">
        <is>
          <t>B0DGCVK1JL</t>
        </is>
      </c>
      <c r="S82" s="3" t="n">
        <v>138</v>
      </c>
      <c r="T82" s="5">
        <f>IFERROR(S82/F82,"")</f>
        <v>1.0</v>
      </c>
      <c r="U82" s="3" t="n">
        <v>6605333</v>
      </c>
      <c r="V82" s="3" t="n">
        <v>94193</v>
      </c>
      <c r="W82" s="3" t="n">
        <v>2881</v>
      </c>
      <c r="X82" s="6">
        <f>IFERROR(IF(ISNUMBER(P82),F82*P82,""),"")</f>
        <v>4.2208869024237465</v>
      </c>
      <c r="Y82" s="2" t="inlineStr">
        <is>
          <t>购买基准计数少，先观察</t>
        </is>
      </c>
      <c r="Z82" s="2" t="inlineStr">
        <is>
          <t>核查词意图和主力ASIN；不凭比率判断购买优劣</t>
        </is>
      </c>
      <c r="AA82" s="3" t="n">
        <v>293</v>
      </c>
      <c r="AB82" s="4" t="n"/>
    </row>
    <row r="83">
      <c r="A83" s="3" t="n">
        <v>82</v>
      </c>
      <c r="B83" s="4" t="inlineStr">
        <is>
          <t>carafe</t>
        </is>
      </c>
      <c r="C83" s="3" t="n">
        <v>23766</v>
      </c>
      <c r="D83" s="3" t="n">
        <v>2</v>
      </c>
      <c r="E83" s="3" t="n">
        <v>20176</v>
      </c>
      <c r="F83" s="3" t="n">
        <v>127</v>
      </c>
      <c r="G83" s="5">
        <f>F83/47159</f>
        <v>0.0026930172395513052</v>
      </c>
      <c r="H83" s="3" t="n">
        <v>39</v>
      </c>
      <c r="I83" s="3" t="n">
        <v>9</v>
      </c>
      <c r="J83" s="5">
        <f>I83/3778</f>
        <v>0.002382212811011117</v>
      </c>
      <c r="K83" s="5">
        <f>IFERROR(IF(AND(ISNUMBER(F83),ISNUMBER(E83),E83&gt;0),F83/E83,""),"")</f>
        <v>0.006294607454401269</v>
      </c>
      <c r="L83" s="5">
        <f>IFERROR(IF(AND(ISNUMBER(V83),ISNUMBER(U83),U83&gt;0),V83/U83,""),"")</f>
        <v>0.010883182073670993</v>
      </c>
      <c r="M83" s="6">
        <f>IFERROR(IF(AND(ISNUMBER(K83),ISNUMBER(L83)),(K83-L83)*100,""),"")</f>
        <v>-0.4588574619269724</v>
      </c>
      <c r="N83" s="5">
        <f>IFERROR(IF(AND(ISNUMBER(H83),ISNUMBER(F83),F83&gt;0),H83/F83,""),"")</f>
        <v>0.30708661417322836</v>
      </c>
      <c r="O83" s="5">
        <f>IFERROR(IF(AND(ISNUMBER(I83),ISNUMBER(F83),F83&gt;0),I83/F83,""),"")</f>
        <v>0.07086614173228346</v>
      </c>
      <c r="P83" s="5">
        <f>IFERROR(IF(AND(ISNUMBER(W83),ISNUMBER(V83),V83&gt;0),W83/V83,""),"")</f>
        <v>0.10793945831120552</v>
      </c>
      <c r="Q83" s="6">
        <f>IFERROR(IF(AND(ISNUMBER(O83),ISNUMBER(P83)),(O83-P83)*100,""),"")</f>
        <v>-3.707331657892206</v>
      </c>
      <c r="R83" s="4" t="inlineStr">
        <is>
          <t>B0DGCVK1JL</t>
        </is>
      </c>
      <c r="S83" s="3" t="n">
        <v>122</v>
      </c>
      <c r="T83" s="5">
        <f>IFERROR(S83/F83,"")</f>
        <v>0.9606299212598425</v>
      </c>
      <c r="U83" s="3" t="n">
        <v>692077</v>
      </c>
      <c r="V83" s="3" t="n">
        <v>7532</v>
      </c>
      <c r="W83" s="3" t="n">
        <v>813</v>
      </c>
      <c r="X83" s="6">
        <f>IFERROR(IF(ISNUMBER(P83),F83*P83,""),"")</f>
        <v>13.708311205523101</v>
      </c>
      <c r="Y83" s="2" t="inlineStr">
        <is>
          <t>CTR及购买比均低于市场（描述）</t>
        </is>
      </c>
      <c r="Z83" s="2" t="inlineStr">
        <is>
          <t>先查词意图与主力ASIN，再核查商品和展示条件</t>
        </is>
      </c>
      <c r="AA83" s="3" t="n">
        <v>329</v>
      </c>
      <c r="AB83" s="3" t="n">
        <v>42</v>
      </c>
    </row>
    <row r="84">
      <c r="A84" s="3" t="n">
        <v>83</v>
      </c>
      <c r="B84" s="4" t="inlineStr">
        <is>
          <t>ball jars</t>
        </is>
      </c>
      <c r="C84" s="3" t="n">
        <v>27371</v>
      </c>
      <c r="D84" s="3" t="n">
        <v>3</v>
      </c>
      <c r="E84" s="3" t="n">
        <v>15137</v>
      </c>
      <c r="F84" s="3" t="n">
        <v>124</v>
      </c>
      <c r="G84" s="5">
        <f>F84/47159</f>
        <v>0.0026294026590894634</v>
      </c>
      <c r="H84" s="3" t="n">
        <v>46</v>
      </c>
      <c r="I84" s="3" t="n">
        <v>6</v>
      </c>
      <c r="J84" s="5">
        <f>I84/3778</f>
        <v>0.0015881418740074113</v>
      </c>
      <c r="K84" s="5">
        <f>IFERROR(IF(AND(ISNUMBER(F84),ISNUMBER(E84),E84&gt;0),F84/E84,""),"")</f>
        <v>0.008191847790182996</v>
      </c>
      <c r="L84" s="5">
        <f>IFERROR(IF(AND(ISNUMBER(V84),ISNUMBER(U84),U84&gt;0),V84/U84,""),"")</f>
        <v>0.0147527966231559</v>
      </c>
      <c r="M84" s="6">
        <f>IFERROR(IF(AND(ISNUMBER(K84),ISNUMBER(L84)),(K84-L84)*100,""),"")</f>
        <v>-0.6560948832972905</v>
      </c>
      <c r="N84" s="5">
        <f>IFERROR(IF(AND(ISNUMBER(H84),ISNUMBER(F84),F84&gt;0),H84/F84,""),"")</f>
        <v>0.3709677419354839</v>
      </c>
      <c r="O84" s="5">
        <f>IFERROR(IF(AND(ISNUMBER(I84),ISNUMBER(F84),F84&gt;0),I84/F84,""),"")</f>
        <v>0.04838709677419355</v>
      </c>
      <c r="P84" s="5">
        <f>IFERROR(IF(AND(ISNUMBER(W84),ISNUMBER(V84),V84&gt;0),W84/V84,""),"")</f>
        <v>0.09588805906086359</v>
      </c>
      <c r="Q84" s="6">
        <f>IFERROR(IF(AND(ISNUMBER(O84),ISNUMBER(P84)),(O84-P84)*100,""),"")</f>
        <v>-4.7500962286670045</v>
      </c>
      <c r="R84" s="4" t="inlineStr">
        <is>
          <t>B0DGCVK1JL</t>
        </is>
      </c>
      <c r="S84" s="3" t="n">
        <v>110</v>
      </c>
      <c r="T84" s="5">
        <f>IFERROR(S84/F84,"")</f>
        <v>0.8870967741935484</v>
      </c>
      <c r="U84" s="3" t="n">
        <v>789613</v>
      </c>
      <c r="V84" s="3" t="n">
        <v>11649</v>
      </c>
      <c r="W84" s="3" t="n">
        <v>1117</v>
      </c>
      <c r="X84" s="6">
        <f>IFERROR(IF(ISNUMBER(P84),F84*P84,""),"")</f>
        <v>11.890119323547085</v>
      </c>
      <c r="Y84" s="2" t="inlineStr">
        <is>
          <t>CTR及购买比均低于市场（描述）</t>
        </is>
      </c>
      <c r="Z84" s="2" t="inlineStr">
        <is>
          <t>先查词意图与主力ASIN，再核查商品和展示条件</t>
        </is>
      </c>
      <c r="AA84" s="3" t="n">
        <v>255</v>
      </c>
      <c r="AB84" s="3" t="n">
        <v>59</v>
      </c>
    </row>
    <row r="85">
      <c r="A85" s="3" t="n">
        <v>84</v>
      </c>
      <c r="B85" s="4" t="inlineStr">
        <is>
          <t>housewarming gifts new home</t>
        </is>
      </c>
      <c r="C85" s="3" t="n">
        <v>112817</v>
      </c>
      <c r="D85" s="3" t="n">
        <v>1</v>
      </c>
      <c r="E85" s="3" t="n">
        <v>8817</v>
      </c>
      <c r="F85" s="3" t="n">
        <v>124</v>
      </c>
      <c r="G85" s="5">
        <f>F85/47159</f>
        <v>0.0026294026590894634</v>
      </c>
      <c r="H85" s="3" t="n">
        <v>54</v>
      </c>
      <c r="I85" s="3" t="n">
        <v>4</v>
      </c>
      <c r="J85" s="5">
        <f>I85/3778</f>
        <v>0.0010587612493382743</v>
      </c>
      <c r="K85" s="5">
        <f>IFERROR(IF(AND(ISNUMBER(F85),ISNUMBER(E85),E85&gt;0),F85/E85,""),"")</f>
        <v>0.014063740501304298</v>
      </c>
      <c r="L85" s="5">
        <f>IFERROR(IF(AND(ISNUMBER(V85),ISNUMBER(U85),U85&gt;0),V85/U85,""),"")</f>
        <v>0.012523397127827145</v>
      </c>
      <c r="M85" s="6">
        <f>IFERROR(IF(AND(ISNUMBER(K85),ISNUMBER(L85)),(K85-L85)*100,""),"")</f>
        <v>0.15403433734771532</v>
      </c>
      <c r="N85" s="5">
        <f>IFERROR(IF(AND(ISNUMBER(H85),ISNUMBER(F85),F85&gt;0),H85/F85,""),"")</f>
        <v>0.43548387096774194</v>
      </c>
      <c r="O85" s="5">
        <f>IFERROR(IF(AND(ISNUMBER(I85),ISNUMBER(F85),F85&gt;0),I85/F85,""),"")</f>
        <v>0.03225806451612903</v>
      </c>
      <c r="P85" s="5">
        <f>IFERROR(IF(AND(ISNUMBER(W85),ISNUMBER(V85),V85&gt;0),W85/V85,""),"")</f>
        <v>0.08806684558559057</v>
      </c>
      <c r="Q85" s="6">
        <f>IFERROR(IF(AND(ISNUMBER(O85),ISNUMBER(P85)),(O85-P85)*100,""),"")</f>
        <v>-5.5808781069461535</v>
      </c>
      <c r="R85" s="4" t="inlineStr">
        <is>
          <t>B0DGCVK1JL</t>
        </is>
      </c>
      <c r="S85" s="3" t="n">
        <v>124</v>
      </c>
      <c r="T85" s="5">
        <f>IFERROR(S85/F85,"")</f>
        <v>1.0</v>
      </c>
      <c r="U85" s="3" t="n">
        <v>2886038</v>
      </c>
      <c r="V85" s="3" t="n">
        <v>36143</v>
      </c>
      <c r="W85" s="3" t="n">
        <v>3183</v>
      </c>
      <c r="X85" s="6">
        <f>IFERROR(IF(ISNUMBER(P85),F85*P85,""),"")</f>
        <v>10.920288852613231</v>
      </c>
      <c r="Y85" s="2" t="inlineStr">
        <is>
          <t>CTR不低，购买比低于市场（描述）</t>
        </is>
      </c>
      <c r="Z85" s="2" t="inlineStr">
        <is>
          <t>查主力ASIN规格、功能、价格、库存及页面；原因待验证</t>
        </is>
      </c>
      <c r="AA85" s="3" t="n">
        <v>344</v>
      </c>
      <c r="AB85" s="3" t="n">
        <v>92</v>
      </c>
    </row>
    <row r="86">
      <c r="A86" s="3" t="n">
        <v>85</v>
      </c>
      <c r="B86" s="4" t="inlineStr">
        <is>
          <t>glass juice bottles with lids</t>
        </is>
      </c>
      <c r="C86" s="3" t="n">
        <v>14230</v>
      </c>
      <c r="D86" s="3" t="n">
        <v>2</v>
      </c>
      <c r="E86" s="3" t="n">
        <v>12766</v>
      </c>
      <c r="F86" s="3" t="n">
        <v>120</v>
      </c>
      <c r="G86" s="5">
        <f>F86/47159</f>
        <v>0.002544583218473674</v>
      </c>
      <c r="H86" s="3" t="n">
        <v>38</v>
      </c>
      <c r="I86" s="3" t="n">
        <v>3</v>
      </c>
      <c r="J86" s="5">
        <f>I86/3778</f>
        <v>0.0007940709370037057</v>
      </c>
      <c r="K86" s="5">
        <f>IFERROR(IF(AND(ISNUMBER(F86),ISNUMBER(E86),E86&gt;0),F86/E86,""),"")</f>
        <v>0.00939996866677111</v>
      </c>
      <c r="L86" s="5">
        <f>IFERROR(IF(AND(ISNUMBER(V86),ISNUMBER(U86),U86&gt;0),V86/U86,""),"")</f>
        <v>0.0178703186137507</v>
      </c>
      <c r="M86" s="6">
        <f>IFERROR(IF(AND(ISNUMBER(K86),ISNUMBER(L86)),(K86-L86)*100,""),"")</f>
        <v>-0.8470349946979588</v>
      </c>
      <c r="N86" s="5">
        <f>IFERROR(IF(AND(ISNUMBER(H86),ISNUMBER(F86),F86&gt;0),H86/F86,""),"")</f>
        <v>0.31666666666666665</v>
      </c>
      <c r="O86" s="5">
        <f>IFERROR(IF(AND(ISNUMBER(I86),ISNUMBER(F86),F86&gt;0),I86/F86,""),"")</f>
        <v>0.025</v>
      </c>
      <c r="P86" s="5">
        <f>IFERROR(IF(AND(ISNUMBER(W86),ISNUMBER(V86),V86&gt;0),W86/V86,""),"")</f>
        <v>0.10666249609008445</v>
      </c>
      <c r="Q86" s="6">
        <f>IFERROR(IF(AND(ISNUMBER(O86),ISNUMBER(P86)),(O86-P86)*100,""),"")</f>
        <v>-8.166249609008444</v>
      </c>
      <c r="R86" s="4" t="inlineStr">
        <is>
          <t>B0DGCVK1JL</t>
        </is>
      </c>
      <c r="S86" s="3" t="n">
        <v>118</v>
      </c>
      <c r="T86" s="5">
        <f>IFERROR(S86/F86,"")</f>
        <v>0.9833333333333333</v>
      </c>
      <c r="U86" s="3" t="n">
        <v>357800</v>
      </c>
      <c r="V86" s="3" t="n">
        <v>6394</v>
      </c>
      <c r="W86" s="3" t="n">
        <v>682</v>
      </c>
      <c r="X86" s="6">
        <f>IFERROR(IF(ISNUMBER(P86),F86*P86,""),"")</f>
        <v>12.799499530810134</v>
      </c>
      <c r="Y86" s="2" t="inlineStr">
        <is>
          <t>CTR及购买比均低于市场（描述）</t>
        </is>
      </c>
      <c r="Z86" s="2" t="inlineStr">
        <is>
          <t>先查词意图与主力ASIN，再核查商品和展示条件</t>
        </is>
      </c>
      <c r="AA86" s="3" t="n">
        <v>316</v>
      </c>
      <c r="AB86" s="3" t="n">
        <v>66</v>
      </c>
    </row>
    <row r="87">
      <c r="A87" s="3" t="n">
        <v>86</v>
      </c>
      <c r="B87" s="4" t="inlineStr">
        <is>
          <t>milk pitcher for breastmilk</t>
        </is>
      </c>
      <c r="C87" s="3" t="n">
        <v>7748</v>
      </c>
      <c r="D87" s="3" t="n">
        <v>3</v>
      </c>
      <c r="E87" s="3" t="n">
        <v>5878</v>
      </c>
      <c r="F87" s="3" t="n">
        <v>119</v>
      </c>
      <c r="G87" s="5">
        <f>F87/47159</f>
        <v>0.002523378358319727</v>
      </c>
      <c r="H87" s="3" t="n">
        <v>24</v>
      </c>
      <c r="I87" s="3" t="n">
        <v>5</v>
      </c>
      <c r="J87" s="5">
        <f>I87/3778</f>
        <v>0.0013234515616728428</v>
      </c>
      <c r="K87" s="5">
        <f>IFERROR(IF(AND(ISNUMBER(F87),ISNUMBER(E87),E87&gt;0),F87/E87,""),"")</f>
        <v>0.020244981286151754</v>
      </c>
      <c r="L87" s="5">
        <f>IFERROR(IF(AND(ISNUMBER(V87),ISNUMBER(U87),U87&gt;0),V87/U87,""),"")</f>
        <v>0.023840195589371956</v>
      </c>
      <c r="M87" s="6">
        <f>IFERROR(IF(AND(ISNUMBER(K87),ISNUMBER(L87)),(K87-L87)*100,""),"")</f>
        <v>-0.35952143032202016</v>
      </c>
      <c r="N87" s="5">
        <f>IFERROR(IF(AND(ISNUMBER(H87),ISNUMBER(F87),F87&gt;0),H87/F87,""),"")</f>
        <v>0.20168067226890757</v>
      </c>
      <c r="O87" s="5">
        <f>IFERROR(IF(AND(ISNUMBER(I87),ISNUMBER(F87),F87&gt;0),I87/F87,""),"")</f>
        <v>0.04201680672268908</v>
      </c>
      <c r="P87" s="5">
        <f>IFERROR(IF(AND(ISNUMBER(W87),ISNUMBER(V87),V87&gt;0),W87/V87,""),"")</f>
        <v>0.0995631179581513</v>
      </c>
      <c r="Q87" s="6">
        <f>IFERROR(IF(AND(ISNUMBER(O87),ISNUMBER(P87)),(O87-P87)*100,""),"")</f>
        <v>-5.754631123546222</v>
      </c>
      <c r="R87" s="4" t="inlineStr">
        <is>
          <t>B0FVFF4CP9</t>
        </is>
      </c>
      <c r="S87" s="3" t="n">
        <v>114</v>
      </c>
      <c r="T87" s="5">
        <f>IFERROR(S87/F87,"")</f>
        <v>0.957983193277311</v>
      </c>
      <c r="U87" s="3" t="n">
        <v>182423</v>
      </c>
      <c r="V87" s="3" t="n">
        <v>4349</v>
      </c>
      <c r="W87" s="3" t="n">
        <v>433</v>
      </c>
      <c r="X87" s="6">
        <f>IFERROR(IF(ISNUMBER(P87),F87*P87,""),"")</f>
        <v>11.848011037020004</v>
      </c>
      <c r="Y87" s="2" t="inlineStr">
        <is>
          <t>CTR及购买比均低于市场（描述）</t>
        </is>
      </c>
      <c r="Z87" s="2" t="inlineStr">
        <is>
          <t>先查词意图与主力ASIN，再核查商品和展示条件</t>
        </is>
      </c>
      <c r="AA87" s="3" t="n">
        <v>1963</v>
      </c>
      <c r="AB87" s="4" t="n"/>
    </row>
    <row r="88">
      <c r="A88" s="3" t="n">
        <v>87</v>
      </c>
      <c r="B88" s="4" t="inlineStr">
        <is>
          <t>pitchers</t>
        </is>
      </c>
      <c r="C88" s="3" t="n">
        <v>10976</v>
      </c>
      <c r="D88" s="3" t="n">
        <v>4</v>
      </c>
      <c r="E88" s="3" t="n">
        <v>11653</v>
      </c>
      <c r="F88" s="3" t="n">
        <v>118</v>
      </c>
      <c r="G88" s="5">
        <f>F88/47159</f>
        <v>0.00250217349816578</v>
      </c>
      <c r="H88" s="3" t="n">
        <v>40</v>
      </c>
      <c r="I88" s="3" t="n">
        <v>8</v>
      </c>
      <c r="J88" s="5">
        <f>I88/3778</f>
        <v>0.0021175224986765486</v>
      </c>
      <c r="K88" s="5">
        <f>IFERROR(IF(AND(ISNUMBER(F88),ISNUMBER(E88),E88&gt;0),F88/E88,""),"")</f>
        <v>0.010126147773105639</v>
      </c>
      <c r="L88" s="5">
        <f>IFERROR(IF(AND(ISNUMBER(V88),ISNUMBER(U88),U88&gt;0),V88/U88,""),"")</f>
        <v>0.010398660086521152</v>
      </c>
      <c r="M88" s="6">
        <f>IFERROR(IF(AND(ISNUMBER(K88),ISNUMBER(L88)),(K88-L88)*100,""),"")</f>
        <v>-0.02725123134155131</v>
      </c>
      <c r="N88" s="5">
        <f>IFERROR(IF(AND(ISNUMBER(H88),ISNUMBER(F88),F88&gt;0),H88/F88,""),"")</f>
        <v>0.3389830508474576</v>
      </c>
      <c r="O88" s="5">
        <f>IFERROR(IF(AND(ISNUMBER(I88),ISNUMBER(F88),F88&gt;0),I88/F88,""),"")</f>
        <v>0.06779661016949153</v>
      </c>
      <c r="P88" s="5">
        <f>IFERROR(IF(AND(ISNUMBER(W88),ISNUMBER(V88),V88&gt;0),W88/V88,""),"")</f>
        <v>0.12173413723801321</v>
      </c>
      <c r="Q88" s="6">
        <f>IFERROR(IF(AND(ISNUMBER(O88),ISNUMBER(P88)),(O88-P88)*100,""),"")</f>
        <v>-5.393752706852169</v>
      </c>
      <c r="R88" s="4" t="inlineStr">
        <is>
          <t>B0DGCVK1JL</t>
        </is>
      </c>
      <c r="S88" s="3" t="n">
        <v>102</v>
      </c>
      <c r="T88" s="5">
        <f>IFERROR(S88/F88,"")</f>
        <v>0.864406779661017</v>
      </c>
      <c r="U88" s="3" t="n">
        <v>334947</v>
      </c>
      <c r="V88" s="3" t="n">
        <v>3483</v>
      </c>
      <c r="W88" s="3" t="n">
        <v>424</v>
      </c>
      <c r="X88" s="6">
        <f>IFERROR(IF(ISNUMBER(P88),F88*P88,""),"")</f>
        <v>14.36462819408556</v>
      </c>
      <c r="Y88" s="2" t="inlineStr">
        <is>
          <t>CTR及购买比均低于市场（描述）</t>
        </is>
      </c>
      <c r="Z88" s="2" t="inlineStr">
        <is>
          <t>先查词意图与主力ASIN，再核查商品和展示条件</t>
        </is>
      </c>
      <c r="AA88" s="3" t="n">
        <v>306</v>
      </c>
      <c r="AB88" s="3" t="n">
        <v>70</v>
      </c>
    </row>
    <row r="89">
      <c r="A89" s="3" t="n">
        <v>88</v>
      </c>
      <c r="B89" s="4" t="inlineStr">
        <is>
          <t>rae dunn</t>
        </is>
      </c>
      <c r="C89" s="3" t="n">
        <v>28521</v>
      </c>
      <c r="D89" s="3" t="n">
        <v>2</v>
      </c>
      <c r="E89" s="3" t="n">
        <v>12872</v>
      </c>
      <c r="F89" s="3" t="n">
        <v>118</v>
      </c>
      <c r="G89" s="5">
        <f>F89/47159</f>
        <v>0.00250217349816578</v>
      </c>
      <c r="H89" s="3" t="n">
        <v>52</v>
      </c>
      <c r="I89" s="3" t="n">
        <v>3</v>
      </c>
      <c r="J89" s="5">
        <f>I89/3778</f>
        <v>0.0007940709370037057</v>
      </c>
      <c r="K89" s="5">
        <f>IFERROR(IF(AND(ISNUMBER(F89),ISNUMBER(E89),E89&gt;0),F89/E89,""),"")</f>
        <v>0.009167184586699814</v>
      </c>
      <c r="L89" s="5">
        <f>IFERROR(IF(AND(ISNUMBER(V89),ISNUMBER(U89),U89&gt;0),V89/U89,""),"")</f>
        <v>0.011651221780797581</v>
      </c>
      <c r="M89" s="6">
        <f>IFERROR(IF(AND(ISNUMBER(K89),ISNUMBER(L89)),(K89-L89)*100,""),"")</f>
        <v>-0.2484037194097767</v>
      </c>
      <c r="N89" s="5">
        <f>IFERROR(IF(AND(ISNUMBER(H89),ISNUMBER(F89),F89&gt;0),H89/F89,""),"")</f>
        <v>0.4406779661016949</v>
      </c>
      <c r="O89" s="5">
        <f>IFERROR(IF(AND(ISNUMBER(I89),ISNUMBER(F89),F89&gt;0),I89/F89,""),"")</f>
        <v>0.025423728813559324</v>
      </c>
      <c r="P89" s="5">
        <f>IFERROR(IF(AND(ISNUMBER(W89),ISNUMBER(V89),V89&gt;0),W89/V89,""),"")</f>
        <v>0.01665812403895438</v>
      </c>
      <c r="Q89" s="6">
        <f>IFERROR(IF(AND(ISNUMBER(O89),ISNUMBER(P89)),(O89-P89)*100,""),"")</f>
        <v>0.8765604774604943</v>
      </c>
      <c r="R89" s="4" t="inlineStr">
        <is>
          <t>B0DGCVK1JL</t>
        </is>
      </c>
      <c r="S89" s="3" t="n">
        <v>98</v>
      </c>
      <c r="T89" s="5">
        <f>IFERROR(S89/F89,"")</f>
        <v>0.8305084745762712</v>
      </c>
      <c r="U89" s="3" t="n">
        <v>669801</v>
      </c>
      <c r="V89" s="3" t="n">
        <v>7804</v>
      </c>
      <c r="W89" s="3" t="n">
        <v>130</v>
      </c>
      <c r="X89" s="6">
        <f>IFERROR(IF(ISNUMBER(P89),F89*P89,""),"")</f>
        <v>1.9656586365966169</v>
      </c>
      <c r="Y89" s="2" t="inlineStr">
        <is>
          <t>购买基准计数少，先观察</t>
        </is>
      </c>
      <c r="Z89" s="2" t="inlineStr">
        <is>
          <t>核查词意图和主力ASIN；不凭比率判断购买优劣</t>
        </is>
      </c>
      <c r="AA89" s="3" t="n">
        <v>267</v>
      </c>
      <c r="AB89" s="3" t="n">
        <v>65</v>
      </c>
    </row>
    <row r="90">
      <c r="A90" s="3" t="n">
        <v>89</v>
      </c>
      <c r="B90" s="4" t="inlineStr">
        <is>
          <t>cold brew maker</t>
        </is>
      </c>
      <c r="C90" s="3" t="n">
        <v>23961</v>
      </c>
      <c r="D90" s="3" t="n">
        <v>3</v>
      </c>
      <c r="E90" s="3" t="n">
        <v>4849</v>
      </c>
      <c r="F90" s="3" t="n">
        <v>116</v>
      </c>
      <c r="G90" s="5">
        <f>F90/47159</f>
        <v>0.002459763777857885</v>
      </c>
      <c r="H90" s="3" t="n">
        <v>31</v>
      </c>
      <c r="I90" s="3" t="n">
        <v>9</v>
      </c>
      <c r="J90" s="5">
        <f>I90/3778</f>
        <v>0.002382212811011117</v>
      </c>
      <c r="K90" s="5">
        <f>IFERROR(IF(AND(ISNUMBER(F90),ISNUMBER(E90),E90&gt;0),F90/E90,""),"")</f>
        <v>0.023922458238812127</v>
      </c>
      <c r="L90" s="5">
        <f>IFERROR(IF(AND(ISNUMBER(V90),ISNUMBER(U90),U90&gt;0),V90/U90,""),"")</f>
        <v>0.019986071576812127</v>
      </c>
      <c r="M90" s="6">
        <f>IFERROR(IF(AND(ISNUMBER(K90),ISNUMBER(L90)),(K90-L90)*100,""),"")</f>
        <v>0.3936386662</v>
      </c>
      <c r="N90" s="5">
        <f>IFERROR(IF(AND(ISNUMBER(H90),ISNUMBER(F90),F90&gt;0),H90/F90,""),"")</f>
        <v>0.2672413793103448</v>
      </c>
      <c r="O90" s="5">
        <f>IFERROR(IF(AND(ISNUMBER(I90),ISNUMBER(F90),F90&gt;0),I90/F90,""),"")</f>
        <v>0.07758620689655173</v>
      </c>
      <c r="P90" s="5">
        <f>IFERROR(IF(AND(ISNUMBER(W90),ISNUMBER(V90),V90&gt;0),W90/V90,""),"")</f>
        <v>0.10349322210636079</v>
      </c>
      <c r="Q90" s="6">
        <f>IFERROR(IF(AND(ISNUMBER(O90),ISNUMBER(P90)),(O90-P90)*100,""),"")</f>
        <v>-2.5907015209809066</v>
      </c>
      <c r="R90" s="4" t="inlineStr">
        <is>
          <t>B0F42HC931</t>
        </is>
      </c>
      <c r="S90" s="3" t="n">
        <v>103</v>
      </c>
      <c r="T90" s="5">
        <f>IFERROR(S90/F90,"")</f>
        <v>0.8879310344827587</v>
      </c>
      <c r="U90" s="3" t="n">
        <v>575801</v>
      </c>
      <c r="V90" s="3" t="n">
        <v>11508</v>
      </c>
      <c r="W90" s="3" t="n">
        <v>1191</v>
      </c>
      <c r="X90" s="6">
        <f>IFERROR(IF(ISNUMBER(P90),F90*P90,""),"")</f>
        <v>12.005213764337851</v>
      </c>
      <c r="Y90" s="2" t="inlineStr">
        <is>
          <t>CTR不低，购买比低于市场（描述）</t>
        </is>
      </c>
      <c r="Z90" s="2" t="inlineStr">
        <is>
          <t>查主力ASIN规格、功能、价格、库存及页面；原因待验证</t>
        </is>
      </c>
      <c r="AA90" s="3" t="n">
        <v>1342</v>
      </c>
      <c r="AB90" s="4" t="n"/>
    </row>
    <row r="91">
      <c r="A91" s="3" t="n">
        <v>90</v>
      </c>
      <c r="B91" s="4" t="inlineStr">
        <is>
          <t>yeti</t>
        </is>
      </c>
      <c r="C91" s="3" t="n">
        <v>521330</v>
      </c>
      <c r="D91" s="3" t="n">
        <v>1</v>
      </c>
      <c r="E91" s="3" t="n">
        <v>9359</v>
      </c>
      <c r="F91" s="3" t="n">
        <v>114</v>
      </c>
      <c r="G91" s="5">
        <f>F91/47159</f>
        <v>0.0024173540575499904</v>
      </c>
      <c r="H91" s="3" t="n">
        <v>38</v>
      </c>
      <c r="I91" s="3" t="n">
        <v>3</v>
      </c>
      <c r="J91" s="5">
        <f>I91/3778</f>
        <v>0.0007940709370037057</v>
      </c>
      <c r="K91" s="5">
        <f>IFERROR(IF(AND(ISNUMBER(F91),ISNUMBER(E91),E91&gt;0),F91/E91,""),"")</f>
        <v>0.012180788545784806</v>
      </c>
      <c r="L91" s="5">
        <f>IFERROR(IF(AND(ISNUMBER(V91),ISNUMBER(U91),U91&gt;0),V91/U91,""),"")</f>
        <v>0.013846712830002874</v>
      </c>
      <c r="M91" s="6">
        <f>IFERROR(IF(AND(ISNUMBER(K91),ISNUMBER(L91)),(K91-L91)*100,""),"")</f>
        <v>-0.16659242842180683</v>
      </c>
      <c r="N91" s="5">
        <f>IFERROR(IF(AND(ISNUMBER(H91),ISNUMBER(F91),F91&gt;0),H91/F91,""),"")</f>
        <v>0.3333333333333333</v>
      </c>
      <c r="O91" s="5">
        <f>IFERROR(IF(AND(ISNUMBER(I91),ISNUMBER(F91),F91&gt;0),I91/F91,""),"")</f>
        <v>0.02631578947368421</v>
      </c>
      <c r="P91" s="5">
        <f>IFERROR(IF(AND(ISNUMBER(W91),ISNUMBER(V91),V91&gt;0),W91/V91,""),"")</f>
        <v>0.020082179406677902</v>
      </c>
      <c r="Q91" s="6">
        <f>IFERROR(IF(AND(ISNUMBER(O91),ISNUMBER(P91)),(O91-P91)*100,""),"")</f>
        <v>0.6233610067006308</v>
      </c>
      <c r="R91" s="4" t="inlineStr">
        <is>
          <t>B0DGCVK1JL</t>
        </is>
      </c>
      <c r="S91" s="3" t="n">
        <v>114</v>
      </c>
      <c r="T91" s="5">
        <f>IFERROR(S91/F91,"")</f>
        <v>1.0</v>
      </c>
      <c r="U91" s="3" t="n">
        <v>13111704</v>
      </c>
      <c r="V91" s="3" t="n">
        <v>181554</v>
      </c>
      <c r="W91" s="3" t="n">
        <v>3646</v>
      </c>
      <c r="X91" s="6">
        <f>IFERROR(IF(ISNUMBER(P91),F91*P91,""),"")</f>
        <v>2.289368452361281</v>
      </c>
      <c r="Y91" s="2" t="inlineStr">
        <is>
          <t>购买基准计数少，先观察</t>
        </is>
      </c>
      <c r="Z91" s="2" t="inlineStr">
        <is>
          <t>核查词意图和主力ASIN；不凭比率判断购买优劣</t>
        </is>
      </c>
      <c r="AA91" s="3" t="n">
        <v>289</v>
      </c>
      <c r="AB91" s="3" t="n">
        <v>87</v>
      </c>
    </row>
    <row r="92">
      <c r="A92" s="3" t="n">
        <v>91</v>
      </c>
      <c r="B92" s="4" t="inlineStr">
        <is>
          <t>liquid laundry detergent dispenser</t>
        </is>
      </c>
      <c r="C92" s="3" t="n">
        <v>12054</v>
      </c>
      <c r="D92" s="3" t="n">
        <v>2</v>
      </c>
      <c r="E92" s="3" t="n">
        <v>9354</v>
      </c>
      <c r="F92" s="3" t="n">
        <v>113</v>
      </c>
      <c r="G92" s="5">
        <f>F92/47159</f>
        <v>0.0023961491973960433</v>
      </c>
      <c r="H92" s="3" t="n">
        <v>26</v>
      </c>
      <c r="I92" s="3" t="n">
        <v>8</v>
      </c>
      <c r="J92" s="5">
        <f>I92/3778</f>
        <v>0.0021175224986765486</v>
      </c>
      <c r="K92" s="5">
        <f>IFERROR(IF(AND(ISNUMBER(F92),ISNUMBER(E92),E92&gt;0),F92/E92,""),"")</f>
        <v>0.012080393414581997</v>
      </c>
      <c r="L92" s="5">
        <f>IFERROR(IF(AND(ISNUMBER(V92),ISNUMBER(U92),U92&gt;0),V92/U92,""),"")</f>
        <v>0.015971201880693505</v>
      </c>
      <c r="M92" s="6">
        <f>IFERROR(IF(AND(ISNUMBER(K92),ISNUMBER(L92)),(K92-L92)*100,""),"")</f>
        <v>-0.3890808466111508</v>
      </c>
      <c r="N92" s="5">
        <f>IFERROR(IF(AND(ISNUMBER(H92),ISNUMBER(F92),F92&gt;0),H92/F92,""),"")</f>
        <v>0.23008849557522124</v>
      </c>
      <c r="O92" s="5">
        <f>IFERROR(IF(AND(ISNUMBER(I92),ISNUMBER(F92),F92&gt;0),I92/F92,""),"")</f>
        <v>0.07079646017699115</v>
      </c>
      <c r="P92" s="5">
        <f>IFERROR(IF(AND(ISNUMBER(W92),ISNUMBER(V92),V92&gt;0),W92/V92,""),"")</f>
        <v>0.06347746090156393</v>
      </c>
      <c r="Q92" s="6">
        <f>IFERROR(IF(AND(ISNUMBER(O92),ISNUMBER(P92)),(O92-P92)*100,""),"")</f>
        <v>0.7318999275427216</v>
      </c>
      <c r="R92" s="4" t="inlineStr">
        <is>
          <t>B0DK8995JD</t>
        </is>
      </c>
      <c r="S92" s="3" t="n">
        <v>65</v>
      </c>
      <c r="T92" s="5">
        <f>IFERROR(S92/F92,"")</f>
        <v>0.5752212389380531</v>
      </c>
      <c r="U92" s="3" t="n">
        <v>272240</v>
      </c>
      <c r="V92" s="3" t="n">
        <v>4348</v>
      </c>
      <c r="W92" s="3" t="n">
        <v>276</v>
      </c>
      <c r="X92" s="6">
        <f>IFERROR(IF(ISNUMBER(P92),F92*P92,""),"")</f>
        <v>7.172953081876725</v>
      </c>
      <c r="Y92" s="2" t="inlineStr">
        <is>
          <t>购买基准计数少，先观察</t>
        </is>
      </c>
      <c r="Z92" s="2" t="inlineStr">
        <is>
          <t>核查词意图和主力ASIN；不凭比率判断购买优劣</t>
        </is>
      </c>
      <c r="AA92" s="3" t="n">
        <v>448</v>
      </c>
      <c r="AB92" s="3" t="n">
        <v>88</v>
      </c>
    </row>
    <row r="93">
      <c r="A93" s="3" t="n">
        <v>92</v>
      </c>
      <c r="B93" s="4" t="inlineStr">
        <is>
          <t>coffee station accessories</t>
        </is>
      </c>
      <c r="C93" s="3" t="n">
        <v>42642</v>
      </c>
      <c r="D93" s="3" t="n">
        <v>2</v>
      </c>
      <c r="E93" s="3" t="n">
        <v>11265</v>
      </c>
      <c r="F93" s="3" t="n">
        <v>112</v>
      </c>
      <c r="G93" s="5">
        <f>F93/47159</f>
        <v>0.0023749443372420957</v>
      </c>
      <c r="H93" s="3" t="n">
        <v>59</v>
      </c>
      <c r="I93" s="3" t="n">
        <v>1</v>
      </c>
      <c r="J93" s="5">
        <f>I93/3778</f>
        <v>0.00026469031233456857</v>
      </c>
      <c r="K93" s="5">
        <f>IFERROR(IF(AND(ISNUMBER(F93),ISNUMBER(E93),E93&gt;0),F93/E93,""),"")</f>
        <v>0.009942299156679981</v>
      </c>
      <c r="L93" s="5">
        <f>IFERROR(IF(AND(ISNUMBER(V93),ISNUMBER(U93),U93&gt;0),V93/U93,""),"")</f>
        <v>0.014311435627005984</v>
      </c>
      <c r="M93" s="6">
        <f>IFERROR(IF(AND(ISNUMBER(K93),ISNUMBER(L93)),(K93-L93)*100,""),"")</f>
        <v>-0.43691364703260027</v>
      </c>
      <c r="N93" s="5">
        <f>IFERROR(IF(AND(ISNUMBER(H93),ISNUMBER(F93),F93&gt;0),H93/F93,""),"")</f>
        <v>0.5267857142857143</v>
      </c>
      <c r="O93" s="5">
        <f>IFERROR(IF(AND(ISNUMBER(I93),ISNUMBER(F93),F93&gt;0),I93/F93,""),"")</f>
        <v>0.008928571428571428</v>
      </c>
      <c r="P93" s="5">
        <f>IFERROR(IF(AND(ISNUMBER(W93),ISNUMBER(V93),V93&gt;0),W93/V93,""),"")</f>
        <v>0.03715280244370249</v>
      </c>
      <c r="Q93" s="6">
        <f>IFERROR(IF(AND(ISNUMBER(O93),ISNUMBER(P93)),(O93-P93)*100,""),"")</f>
        <v>-2.822423101513106</v>
      </c>
      <c r="R93" s="4" t="inlineStr">
        <is>
          <t>B0DGCVK1JL</t>
        </is>
      </c>
      <c r="S93" s="3" t="n">
        <v>99</v>
      </c>
      <c r="T93" s="5">
        <f>IFERROR(S93/F93,"")</f>
        <v>0.8839285714285714</v>
      </c>
      <c r="U93" s="3" t="n">
        <v>983619</v>
      </c>
      <c r="V93" s="3" t="n">
        <v>14077</v>
      </c>
      <c r="W93" s="3" t="n">
        <v>523</v>
      </c>
      <c r="X93" s="6">
        <f>IFERROR(IF(ISNUMBER(P93),F93*P93,""),"")</f>
        <v>4.161113873694679</v>
      </c>
      <c r="Y93" s="2" t="inlineStr">
        <is>
          <t>购买基准计数少，先观察</t>
        </is>
      </c>
      <c r="Z93" s="2" t="inlineStr">
        <is>
          <t>核查词意图和主力ASIN；不凭比率判断购买优劣</t>
        </is>
      </c>
      <c r="AA93" s="3" t="n">
        <v>304</v>
      </c>
      <c r="AB93" s="3" t="n">
        <v>75</v>
      </c>
    </row>
    <row r="94">
      <c r="A94" s="3" t="n">
        <v>93</v>
      </c>
      <c r="B94" s="4" t="inlineStr">
        <is>
          <t>tea steeper</t>
        </is>
      </c>
      <c r="C94" s="3" t="n">
        <v>44487</v>
      </c>
      <c r="D94" s="3" t="n">
        <v>1</v>
      </c>
      <c r="E94" s="3" t="n">
        <v>10157</v>
      </c>
      <c r="F94" s="3" t="n">
        <v>112</v>
      </c>
      <c r="G94" s="5">
        <f>F94/47159</f>
        <v>0.0023749443372420957</v>
      </c>
      <c r="H94" s="3" t="n">
        <v>35</v>
      </c>
      <c r="I94" s="3" t="n">
        <v>2</v>
      </c>
      <c r="J94" s="5">
        <f>I94/3778</f>
        <v>0.0005293806246691371</v>
      </c>
      <c r="K94" s="5">
        <f>IFERROR(IF(AND(ISNUMBER(F94),ISNUMBER(E94),E94&gt;0),F94/E94,""),"")</f>
        <v>0.011026878015161957</v>
      </c>
      <c r="L94" s="5">
        <f>IFERROR(IF(AND(ISNUMBER(V94),ISNUMBER(U94),U94&gt;0),V94/U94,""),"")</f>
        <v>0.01686298068938158</v>
      </c>
      <c r="M94" s="6">
        <f>IFERROR(IF(AND(ISNUMBER(K94),ISNUMBER(L94)),(K94-L94)*100,""),"")</f>
        <v>-0.5836102674219622</v>
      </c>
      <c r="N94" s="5">
        <f>IFERROR(IF(AND(ISNUMBER(H94),ISNUMBER(F94),F94&gt;0),H94/F94,""),"")</f>
        <v>0.3125</v>
      </c>
      <c r="O94" s="5">
        <f>IFERROR(IF(AND(ISNUMBER(I94),ISNUMBER(F94),F94&gt;0),I94/F94,""),"")</f>
        <v>0.017857142857142856</v>
      </c>
      <c r="P94" s="5">
        <f>IFERROR(IF(AND(ISNUMBER(W94),ISNUMBER(V94),V94&gt;0),W94/V94,""),"")</f>
        <v>0.15606708689779378</v>
      </c>
      <c r="Q94" s="6">
        <f>IFERROR(IF(AND(ISNUMBER(O94),ISNUMBER(P94)),(O94-P94)*100,""),"")</f>
        <v>-13.820994404065093</v>
      </c>
      <c r="R94" s="4" t="inlineStr">
        <is>
          <t>B0DGCVK1JL</t>
        </is>
      </c>
      <c r="S94" s="3" t="n">
        <v>112</v>
      </c>
      <c r="T94" s="5">
        <f>IFERROR(S94/F94,"")</f>
        <v>1.0</v>
      </c>
      <c r="U94" s="3" t="n">
        <v>1053669</v>
      </c>
      <c r="V94" s="3" t="n">
        <v>17768</v>
      </c>
      <c r="W94" s="3" t="n">
        <v>2773</v>
      </c>
      <c r="X94" s="6">
        <f>IFERROR(IF(ISNUMBER(P94),F94*P94,""),"")</f>
        <v>17.479513732552903</v>
      </c>
      <c r="Y94" s="2" t="inlineStr">
        <is>
          <t>CTR及购买比均低于市场（描述）</t>
        </is>
      </c>
      <c r="Z94" s="2" t="inlineStr">
        <is>
          <t>先查词意图与主力ASIN，再核查商品和展示条件</t>
        </is>
      </c>
      <c r="AA94" s="3" t="n">
        <v>347</v>
      </c>
      <c r="AB94" s="3" t="n">
        <v>81</v>
      </c>
    </row>
    <row r="95">
      <c r="A95" s="3" t="n">
        <v>94</v>
      </c>
      <c r="B95" s="4" t="inlineStr">
        <is>
          <t>water pitcher with lid</t>
        </is>
      </c>
      <c r="C95" s="3" t="n">
        <v>6893</v>
      </c>
      <c r="D95" s="3" t="n">
        <v>4</v>
      </c>
      <c r="E95" s="3" t="n">
        <v>8043</v>
      </c>
      <c r="F95" s="3" t="n">
        <v>112</v>
      </c>
      <c r="G95" s="5">
        <f>F95/47159</f>
        <v>0.0023749443372420957</v>
      </c>
      <c r="H95" s="3" t="n">
        <v>37</v>
      </c>
      <c r="I95" s="3" t="n">
        <v>16</v>
      </c>
      <c r="J95" s="5">
        <f>I95/3778</f>
        <v>0.004235044997353097</v>
      </c>
      <c r="K95" s="5">
        <f>IFERROR(IF(AND(ISNUMBER(F95),ISNUMBER(E95),E95&gt;0),F95/E95,""),"")</f>
        <v>0.01392515230635335</v>
      </c>
      <c r="L95" s="5">
        <f>IFERROR(IF(AND(ISNUMBER(V95),ISNUMBER(U95),U95&gt;0),V95/U95,""),"")</f>
        <v>0.011912426046625282</v>
      </c>
      <c r="M95" s="6">
        <f>IFERROR(IF(AND(ISNUMBER(K95),ISNUMBER(L95)),(K95-L95)*100,""),"")</f>
        <v>0.20127262597280682</v>
      </c>
      <c r="N95" s="5">
        <f>IFERROR(IF(AND(ISNUMBER(H95),ISNUMBER(F95),F95&gt;0),H95/F95,""),"")</f>
        <v>0.33035714285714285</v>
      </c>
      <c r="O95" s="5">
        <f>IFERROR(IF(AND(ISNUMBER(I95),ISNUMBER(F95),F95&gt;0),I95/F95,""),"")</f>
        <v>0.14285714285714285</v>
      </c>
      <c r="P95" s="5">
        <f>IFERROR(IF(AND(ISNUMBER(W95),ISNUMBER(V95),V95&gt;0),W95/V95,""),"")</f>
        <v>0.13570019723865878</v>
      </c>
      <c r="Q95" s="6">
        <f>IFERROR(IF(AND(ISNUMBER(O95),ISNUMBER(P95)),(O95-P95)*100,""),"")</f>
        <v>0.7156945618484067</v>
      </c>
      <c r="R95" s="4" t="inlineStr">
        <is>
          <t>B0DGCVK1JL</t>
        </is>
      </c>
      <c r="S95" s="3" t="n">
        <v>105</v>
      </c>
      <c r="T95" s="5">
        <f>IFERROR(S95/F95,"")</f>
        <v>0.9375</v>
      </c>
      <c r="U95" s="3" t="n">
        <v>212803</v>
      </c>
      <c r="V95" s="3" t="n">
        <v>2535</v>
      </c>
      <c r="W95" s="3" t="n">
        <v>344</v>
      </c>
      <c r="X95" s="6">
        <f>IFERROR(IF(ISNUMBER(P95),F95*P95,""),"")</f>
        <v>15.198422090729784</v>
      </c>
      <c r="Y95" s="2" t="inlineStr">
        <is>
          <t>CTR及购买比均不低于市场（描述）</t>
        </is>
      </c>
      <c r="Z95" s="2" t="inlineStr">
        <is>
          <t>确认相关性和表现稳定性；增长测试还需成本、利润与库存</t>
        </is>
      </c>
      <c r="AA95" s="3" t="n">
        <v>338</v>
      </c>
      <c r="AB95" s="3" t="n">
        <v>95</v>
      </c>
    </row>
    <row r="96">
      <c r="A96" s="3" t="n">
        <v>95</v>
      </c>
      <c r="B96" s="4" t="inlineStr">
        <is>
          <t>mason jar cups</t>
        </is>
      </c>
      <c r="C96" s="3" t="n">
        <v>16676</v>
      </c>
      <c r="D96" s="3" t="n">
        <v>3</v>
      </c>
      <c r="E96" s="3" t="n">
        <v>10077</v>
      </c>
      <c r="F96" s="3" t="n">
        <v>110</v>
      </c>
      <c r="G96" s="5">
        <f>F96/47159</f>
        <v>0.0023325346169342015</v>
      </c>
      <c r="H96" s="3" t="n">
        <v>56</v>
      </c>
      <c r="I96" s="3" t="n">
        <v>4</v>
      </c>
      <c r="J96" s="5">
        <f>I96/3778</f>
        <v>0.0010587612493382743</v>
      </c>
      <c r="K96" s="5">
        <f>IFERROR(IF(AND(ISNUMBER(F96),ISNUMBER(E96),E96&gt;0),F96/E96,""),"")</f>
        <v>0.010915947206509874</v>
      </c>
      <c r="L96" s="5">
        <f>IFERROR(IF(AND(ISNUMBER(V96),ISNUMBER(U96),U96&gt;0),V96/U96,""),"")</f>
        <v>0.015245613990922113</v>
      </c>
      <c r="M96" s="6">
        <f>IFERROR(IF(AND(ISNUMBER(K96),ISNUMBER(L96)),(K96-L96)*100,""),"")</f>
        <v>-0.43296667844122394</v>
      </c>
      <c r="N96" s="5">
        <f>IFERROR(IF(AND(ISNUMBER(H96),ISNUMBER(F96),F96&gt;0),H96/F96,""),"")</f>
        <v>0.509090909090909</v>
      </c>
      <c r="O96" s="5">
        <f>IFERROR(IF(AND(ISNUMBER(I96),ISNUMBER(F96),F96&gt;0),I96/F96,""),"")</f>
        <v>0.03636363636363636</v>
      </c>
      <c r="P96" s="5">
        <f>IFERROR(IF(AND(ISNUMBER(W96),ISNUMBER(V96),V96&gt;0),W96/V96,""),"")</f>
        <v>0.039134742404227214</v>
      </c>
      <c r="Q96" s="6">
        <f>IFERROR(IF(AND(ISNUMBER(O96),ISNUMBER(P96)),(O96-P96)*100,""),"")</f>
        <v>-0.2771106040590853</v>
      </c>
      <c r="R96" s="4" t="inlineStr">
        <is>
          <t>B0DGCVK1JL</t>
        </is>
      </c>
      <c r="S96" s="3" t="n">
        <v>97</v>
      </c>
      <c r="T96" s="5">
        <f>IFERROR(S96/F96,"")</f>
        <v>0.8818181818181818</v>
      </c>
      <c r="U96" s="3" t="n">
        <v>397229</v>
      </c>
      <c r="V96" s="3" t="n">
        <v>6056</v>
      </c>
      <c r="W96" s="3" t="n">
        <v>237</v>
      </c>
      <c r="X96" s="6">
        <f>IFERROR(IF(ISNUMBER(P96),F96*P96,""),"")</f>
        <v>4.304821664464994</v>
      </c>
      <c r="Y96" s="2" t="inlineStr">
        <is>
          <t>购买基准计数少，先观察</t>
        </is>
      </c>
      <c r="Z96" s="2" t="inlineStr">
        <is>
          <t>核查词意图和主力ASIN；不凭比率判断购买优劣</t>
        </is>
      </c>
      <c r="AA96" s="3" t="n">
        <v>296</v>
      </c>
      <c r="AB96" s="3" t="n">
        <v>82</v>
      </c>
    </row>
    <row r="97">
      <c r="A97" s="3" t="n">
        <v>96</v>
      </c>
      <c r="B97" s="4" t="inlineStr">
        <is>
          <t>birthday gifts for women</t>
        </is>
      </c>
      <c r="C97" s="3" t="n">
        <v>1424255</v>
      </c>
      <c r="D97" s="3" t="n">
        <v>1</v>
      </c>
      <c r="E97" s="3" t="n">
        <v>8248</v>
      </c>
      <c r="F97" s="3" t="n">
        <v>108</v>
      </c>
      <c r="G97" s="5">
        <f>F97/47159</f>
        <v>0.0022901248966263068</v>
      </c>
      <c r="H97" s="3" t="n">
        <v>56</v>
      </c>
      <c r="I97" s="3" t="n">
        <v>5</v>
      </c>
      <c r="J97" s="5">
        <f>I97/3778</f>
        <v>0.0013234515616728428</v>
      </c>
      <c r="K97" s="5">
        <f>IFERROR(IF(AND(ISNUMBER(F97),ISNUMBER(E97),E97&gt;0),F97/E97,""),"")</f>
        <v>0.013094083414161009</v>
      </c>
      <c r="L97" s="5">
        <f>IFERROR(IF(AND(ISNUMBER(V97),ISNUMBER(U97),U97&gt;0),V97/U97,""),"")</f>
        <v>0.011519642786313433</v>
      </c>
      <c r="M97" s="6">
        <f>IFERROR(IF(AND(ISNUMBER(K97),ISNUMBER(L97)),(K97-L97)*100,""),"")</f>
        <v>0.1574440627847576</v>
      </c>
      <c r="N97" s="5">
        <f>IFERROR(IF(AND(ISNUMBER(H97),ISNUMBER(F97),F97&gt;0),H97/F97,""),"")</f>
        <v>0.5185185185185185</v>
      </c>
      <c r="O97" s="5">
        <f>IFERROR(IF(AND(ISNUMBER(I97),ISNUMBER(F97),F97&gt;0),I97/F97,""),"")</f>
        <v>0.046296296296296294</v>
      </c>
      <c r="P97" s="5">
        <f>IFERROR(IF(AND(ISNUMBER(W97),ISNUMBER(V97),V97&gt;0),W97/V97,""),"")</f>
        <v>0.10056917744266657</v>
      </c>
      <c r="Q97" s="6">
        <f>IFERROR(IF(AND(ISNUMBER(O97),ISNUMBER(P97)),(O97-P97)*100,""),"")</f>
        <v>-5.427288114637027</v>
      </c>
      <c r="R97" s="4" t="inlineStr">
        <is>
          <t>B0DGCVK1JL</t>
        </is>
      </c>
      <c r="S97" s="3" t="n">
        <v>108</v>
      </c>
      <c r="T97" s="5">
        <f>IFERROR(S97/F97,"")</f>
        <v>1.0</v>
      </c>
      <c r="U97" s="3" t="n">
        <v>33934646</v>
      </c>
      <c r="V97" s="3" t="n">
        <v>390915</v>
      </c>
      <c r="W97" s="3" t="n">
        <v>39314</v>
      </c>
      <c r="X97" s="6">
        <f>IFERROR(IF(ISNUMBER(P97),F97*P97,""),"")</f>
        <v>10.86147116380799</v>
      </c>
      <c r="Y97" s="2" t="inlineStr">
        <is>
          <t>CTR不低，购买比低于市场（描述）</t>
        </is>
      </c>
      <c r="Z97" s="2" t="inlineStr">
        <is>
          <t>查主力ASIN规格、功能、价格、库存及页面；原因待验证</t>
        </is>
      </c>
      <c r="AA97" s="3" t="n">
        <v>336</v>
      </c>
      <c r="AB97" s="3" t="n">
        <v>94</v>
      </c>
    </row>
    <row r="98">
      <c r="A98" s="3" t="n">
        <v>97</v>
      </c>
      <c r="B98" s="4" t="inlineStr">
        <is>
          <t>juice pitcher</t>
        </is>
      </c>
      <c r="C98" s="3" t="n">
        <v>6684</v>
      </c>
      <c r="D98" s="3" t="n">
        <v>3</v>
      </c>
      <c r="E98" s="3" t="n">
        <v>7325</v>
      </c>
      <c r="F98" s="3" t="n">
        <v>108</v>
      </c>
      <c r="G98" s="5">
        <f>F98/47159</f>
        <v>0.0022901248966263068</v>
      </c>
      <c r="H98" s="3" t="n">
        <v>33</v>
      </c>
      <c r="I98" s="3" t="n">
        <v>12</v>
      </c>
      <c r="J98" s="5">
        <f>I98/3778</f>
        <v>0.0031762837480148226</v>
      </c>
      <c r="K98" s="5">
        <f>IFERROR(IF(AND(ISNUMBER(F98),ISNUMBER(E98),E98&gt;0),F98/E98,""),"")</f>
        <v>0.014744027303754266</v>
      </c>
      <c r="L98" s="5">
        <f>IFERROR(IF(AND(ISNUMBER(V98),ISNUMBER(U98),U98&gt;0),V98/U98,""),"")</f>
        <v>0.013617857644251018</v>
      </c>
      <c r="M98" s="6">
        <f>IFERROR(IF(AND(ISNUMBER(K98),ISNUMBER(L98)),(K98-L98)*100,""),"")</f>
        <v>0.11261696595032486</v>
      </c>
      <c r="N98" s="5">
        <f>IFERROR(IF(AND(ISNUMBER(H98),ISNUMBER(F98),F98&gt;0),H98/F98,""),"")</f>
        <v>0.3055555555555556</v>
      </c>
      <c r="O98" s="5">
        <f>IFERROR(IF(AND(ISNUMBER(I98),ISNUMBER(F98),F98&gt;0),I98/F98,""),"")</f>
        <v>0.1111111111111111</v>
      </c>
      <c r="P98" s="5">
        <f>IFERROR(IF(AND(ISNUMBER(W98),ISNUMBER(V98),V98&gt;0),W98/V98,""),"")</f>
        <v>0.1098334655035686</v>
      </c>
      <c r="Q98" s="6">
        <f>IFERROR(IF(AND(ISNUMBER(O98),ISNUMBER(P98)),(O98-P98)*100,""),"")</f>
        <v>0.12776456075425102</v>
      </c>
      <c r="R98" s="4" t="inlineStr">
        <is>
          <t>B0DGCVK1JL</t>
        </is>
      </c>
      <c r="S98" s="3" t="n">
        <v>105</v>
      </c>
      <c r="T98" s="5">
        <f>IFERROR(S98/F98,"")</f>
        <v>0.9722222222222222</v>
      </c>
      <c r="U98" s="3" t="n">
        <v>185198</v>
      </c>
      <c r="V98" s="3" t="n">
        <v>2522</v>
      </c>
      <c r="W98" s="3" t="n">
        <v>277</v>
      </c>
      <c r="X98" s="6">
        <f>IFERROR(IF(ISNUMBER(P98),F98*P98,""),"")</f>
        <v>11.862014274385409</v>
      </c>
      <c r="Y98" s="2" t="inlineStr">
        <is>
          <t>CTR及购买比均不低于市场（描述）</t>
        </is>
      </c>
      <c r="Z98" s="2" t="inlineStr">
        <is>
          <t>确认相关性和表现稳定性；增长测试还需成本、利润与库存</t>
        </is>
      </c>
      <c r="AA98" s="3" t="n">
        <v>335</v>
      </c>
      <c r="AB98" s="3" t="n">
        <v>100</v>
      </c>
    </row>
    <row r="99">
      <c r="A99" s="3" t="n">
        <v>98</v>
      </c>
      <c r="B99" s="4" t="inlineStr">
        <is>
          <t>64 oz mason jar pour spout lid</t>
        </is>
      </c>
      <c r="C99" s="3" t="n">
        <v>1911</v>
      </c>
      <c r="D99" s="3" t="n">
        <v>3</v>
      </c>
      <c r="E99" s="3" t="n">
        <v>2565</v>
      </c>
      <c r="F99" s="3" t="n">
        <v>107</v>
      </c>
      <c r="G99" s="5">
        <f>F99/47159</f>
        <v>0.0022689200364723596</v>
      </c>
      <c r="H99" s="3" t="n">
        <v>51</v>
      </c>
      <c r="I99" s="3" t="n">
        <v>11</v>
      </c>
      <c r="J99" s="5">
        <f>I99/3778</f>
        <v>0.002911593435680254</v>
      </c>
      <c r="K99" s="5">
        <f>IFERROR(IF(AND(ISNUMBER(F99),ISNUMBER(E99),E99&gt;0),F99/E99,""),"")</f>
        <v>0.041715399610136455</v>
      </c>
      <c r="L99" s="5">
        <f>IFERROR(IF(AND(ISNUMBER(V99),ISNUMBER(U99),U99&gt;0),V99/U99,""),"")</f>
        <v>0.019580921803050145</v>
      </c>
      <c r="M99" s="6">
        <f>IFERROR(IF(AND(ISNUMBER(K99),ISNUMBER(L99)),(K99-L99)*100,""),"")</f>
        <v>2.213447780708631</v>
      </c>
      <c r="N99" s="5">
        <f>IFERROR(IF(AND(ISNUMBER(H99),ISNUMBER(F99),F99&gt;0),H99/F99,""),"")</f>
        <v>0.4766355140186916</v>
      </c>
      <c r="O99" s="5">
        <f>IFERROR(IF(AND(ISNUMBER(I99),ISNUMBER(F99),F99&gt;0),I99/F99,""),"")</f>
        <v>0.102803738317757</v>
      </c>
      <c r="P99" s="5">
        <f>IFERROR(IF(AND(ISNUMBER(W99),ISNUMBER(V99),V99&gt;0),W99/V99,""),"")</f>
        <v>0.1423948220064725</v>
      </c>
      <c r="Q99" s="6">
        <f>IFERROR(IF(AND(ISNUMBER(O99),ISNUMBER(P99)),(O99-P99)*100,""),"")</f>
        <v>-3.9591083688715485</v>
      </c>
      <c r="R99" s="4" t="inlineStr">
        <is>
          <t>B0DGCVK1JL</t>
        </is>
      </c>
      <c r="S99" s="3" t="n">
        <v>105</v>
      </c>
      <c r="T99" s="5">
        <f>IFERROR(S99/F99,"")</f>
        <v>0.9813084112149533</v>
      </c>
      <c r="U99" s="3" t="n">
        <v>47342</v>
      </c>
      <c r="V99" s="3" t="n">
        <v>927</v>
      </c>
      <c r="W99" s="3" t="n">
        <v>132</v>
      </c>
      <c r="X99" s="6">
        <f>IFERROR(IF(ISNUMBER(P99),F99*P99,""),"")</f>
        <v>15.236245954692556</v>
      </c>
      <c r="Y99" s="2" t="inlineStr">
        <is>
          <t>CTR不低，购买比低于市场（描述）</t>
        </is>
      </c>
      <c r="Z99" s="2" t="inlineStr">
        <is>
          <t>查主力ASIN规格、功能、价格、库存及页面；原因待验证</t>
        </is>
      </c>
      <c r="AA99" s="3" t="n">
        <v>313</v>
      </c>
      <c r="AB99" s="4" t="n"/>
    </row>
    <row r="100">
      <c r="A100" s="3" t="n">
        <v>99</v>
      </c>
      <c r="B100" s="4" t="inlineStr">
        <is>
          <t>glass jug</t>
        </is>
      </c>
      <c r="C100" s="3" t="n">
        <v>7243</v>
      </c>
      <c r="D100" s="3" t="n">
        <v>3</v>
      </c>
      <c r="E100" s="3" t="n">
        <v>7571</v>
      </c>
      <c r="F100" s="3" t="n">
        <v>104</v>
      </c>
      <c r="G100" s="5">
        <f>F100/47159</f>
        <v>0.002205305456010518</v>
      </c>
      <c r="H100" s="3" t="n">
        <v>34</v>
      </c>
      <c r="I100" s="3" t="n">
        <v>13</v>
      </c>
      <c r="J100" s="5">
        <f>I100/3778</f>
        <v>0.003440974060349391</v>
      </c>
      <c r="K100" s="5">
        <f>IFERROR(IF(AND(ISNUMBER(F100),ISNUMBER(E100),E100&gt;0),F100/E100,""),"")</f>
        <v>0.013736626601505746</v>
      </c>
      <c r="L100" s="5">
        <f>IFERROR(IF(AND(ISNUMBER(V100),ISNUMBER(U100),U100&gt;0),V100/U100,""),"")</f>
        <v>0.01316595986425407</v>
      </c>
      <c r="M100" s="6">
        <f>IFERROR(IF(AND(ISNUMBER(K100),ISNUMBER(L100)),(K100-L100)*100,""),"")</f>
        <v>0.057066673725167556</v>
      </c>
      <c r="N100" s="5">
        <f>IFERROR(IF(AND(ISNUMBER(H100),ISNUMBER(F100),F100&gt;0),H100/F100,""),"")</f>
        <v>0.3269230769230769</v>
      </c>
      <c r="O100" s="5">
        <f>IFERROR(IF(AND(ISNUMBER(I100),ISNUMBER(F100),F100&gt;0),I100/F100,""),"")</f>
        <v>0.125</v>
      </c>
      <c r="P100" s="5">
        <f>IFERROR(IF(AND(ISNUMBER(W100),ISNUMBER(V100),V100&gt;0),W100/V100,""),"")</f>
        <v>0.08364875094625283</v>
      </c>
      <c r="Q100" s="6">
        <f>IFERROR(IF(AND(ISNUMBER(O100),ISNUMBER(P100)),(O100-P100)*100,""),"")</f>
        <v>4.135124905374717</v>
      </c>
      <c r="R100" s="4" t="inlineStr">
        <is>
          <t>B0DGCVK1JL</t>
        </is>
      </c>
      <c r="S100" s="3" t="n">
        <v>101</v>
      </c>
      <c r="T100" s="5">
        <f>IFERROR(S100/F100,"")</f>
        <v>0.9711538461538461</v>
      </c>
      <c r="U100" s="3" t="n">
        <v>200669</v>
      </c>
      <c r="V100" s="3" t="n">
        <v>2642</v>
      </c>
      <c r="W100" s="3" t="n">
        <v>221</v>
      </c>
      <c r="X100" s="6">
        <f>IFERROR(IF(ISNUMBER(P100),F100*P100,""),"")</f>
        <v>8.699470098410295</v>
      </c>
      <c r="Y100" s="2" t="inlineStr">
        <is>
          <t>购买基准计数少，先观察</t>
        </is>
      </c>
      <c r="Z100" s="2" t="inlineStr">
        <is>
          <t>核查词意图和主力ASIN；不凭比率判断购买优劣</t>
        </is>
      </c>
      <c r="AA100" s="3" t="n">
        <v>284</v>
      </c>
      <c r="AB100" s="3" t="n">
        <v>99</v>
      </c>
    </row>
    <row r="101">
      <c r="A101" s="3" t="n">
        <v>100</v>
      </c>
      <c r="B101" s="4" t="inlineStr">
        <is>
          <t>coffee container</t>
        </is>
      </c>
      <c r="C101" s="3" t="n">
        <v>46062</v>
      </c>
      <c r="D101" s="3" t="n">
        <v>2</v>
      </c>
      <c r="E101" s="3" t="n">
        <v>25557</v>
      </c>
      <c r="F101" s="3" t="n">
        <v>101</v>
      </c>
      <c r="G101" s="5">
        <f>F101/47159</f>
        <v>0.0021416908755486756</v>
      </c>
      <c r="H101" s="3" t="n">
        <v>42</v>
      </c>
      <c r="I101" s="3" t="n">
        <v>4</v>
      </c>
      <c r="J101" s="5">
        <f>I101/3778</f>
        <v>0.0010587612493382743</v>
      </c>
      <c r="K101" s="5">
        <f>IFERROR(IF(AND(ISNUMBER(F101),ISNUMBER(E101),E101&gt;0),F101/E101,""),"")</f>
        <v>0.003951950541925891</v>
      </c>
      <c r="L101" s="5">
        <f>IFERROR(IF(AND(ISNUMBER(V101),ISNUMBER(U101),U101&gt;0),V101/U101,""),"")</f>
        <v>0.012566416133933613</v>
      </c>
      <c r="M101" s="6">
        <f>IFERROR(IF(AND(ISNUMBER(K101),ISNUMBER(L101)),(K101-L101)*100,""),"")</f>
        <v>-0.8614465592007723</v>
      </c>
      <c r="N101" s="5">
        <f>IFERROR(IF(AND(ISNUMBER(H101),ISNUMBER(F101),F101&gt;0),H101/F101,""),"")</f>
        <v>0.4158415841584158</v>
      </c>
      <c r="O101" s="5">
        <f>IFERROR(IF(AND(ISNUMBER(I101),ISNUMBER(F101),F101&gt;0),I101/F101,""),"")</f>
        <v>0.039603960396039604</v>
      </c>
      <c r="P101" s="5">
        <f>IFERROR(IF(AND(ISNUMBER(W101),ISNUMBER(V101),V101&gt;0),W101/V101,""),"")</f>
        <v>0.062814226305009</v>
      </c>
      <c r="Q101" s="6">
        <f>IFERROR(IF(AND(ISNUMBER(O101),ISNUMBER(P101)),(O101-P101)*100,""),"")</f>
        <v>-2.32102659089694</v>
      </c>
      <c r="R101" s="4" t="inlineStr">
        <is>
          <t>B0DGCVK1JL</t>
        </is>
      </c>
      <c r="S101" s="3" t="n">
        <v>99</v>
      </c>
      <c r="T101" s="5">
        <f>IFERROR(S101/F101,"")</f>
        <v>0.9801980198019802</v>
      </c>
      <c r="U101" s="3" t="n">
        <v>1282068</v>
      </c>
      <c r="V101" s="3" t="n">
        <v>16111</v>
      </c>
      <c r="W101" s="3" t="n">
        <v>1012</v>
      </c>
      <c r="X101" s="6">
        <f>IFERROR(IF(ISNUMBER(P101),F101*P101,""),"")</f>
        <v>6.344236856805909</v>
      </c>
      <c r="Y101" s="2" t="inlineStr">
        <is>
          <t>购买基准计数少，先观察</t>
        </is>
      </c>
      <c r="Z101" s="2" t="inlineStr">
        <is>
          <t>核查词意图和主力ASIN；不凭比率判断购买优劣</t>
        </is>
      </c>
      <c r="AA101" s="3" t="n">
        <v>158</v>
      </c>
      <c r="AB101" s="3" t="n">
        <v>33</v>
      </c>
    </row>
  </sheetData>
  <autoFilter ref="A1:AB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40" customWidth="1" min="25" max="25"/>
    <col width="65" customWidth="1" min="26" max="26"/>
    <col width="22" customWidth="1" min="27" max="27"/>
  </cols>
  <sheetData>
    <row r="1" ht="48" customHeight="1">
      <c r="A1" s="1" t="inlineStr">
        <is>
          <t>曝光排名</t>
        </is>
      </c>
      <c r="B1" s="1" t="inlineStr">
        <is>
          <t>搜索词</t>
        </is>
      </c>
      <c r="C1" s="1" t="inlineStr">
        <is>
          <t>市场搜索量</t>
        </is>
      </c>
      <c r="D1" s="1" t="inlineStr">
        <is>
          <t>收录ASIN数</t>
        </is>
      </c>
      <c r="E1" s="1" t="inlineStr">
        <is>
          <t>样本曝光</t>
        </is>
      </c>
      <c r="F1" s="1" t="inlineStr">
        <is>
          <t>样本点击</t>
        </is>
      </c>
      <c r="G1" s="1" t="inlineStr">
        <is>
          <t>点击贡献占比</t>
        </is>
      </c>
      <c r="H1" s="1" t="inlineStr">
        <is>
          <t>样本加购</t>
        </is>
      </c>
      <c r="I1" s="1" t="inlineStr">
        <is>
          <t>样本购买</t>
        </is>
      </c>
      <c r="J1" s="1" t="inlineStr">
        <is>
          <t>购买贡献占比</t>
        </is>
      </c>
      <c r="K1" s="1" t="inlineStr">
        <is>
          <t>样本CTR</t>
        </is>
      </c>
      <c r="L1" s="1" t="inlineStr">
        <is>
          <t>市场CTR</t>
        </is>
      </c>
      <c r="M1" s="1" t="inlineStr">
        <is>
          <t>CTR差_百分点</t>
        </is>
      </c>
      <c r="N1" s="1" t="inlineStr">
        <is>
          <t>样本加购点击比</t>
        </is>
      </c>
      <c r="O1" s="1" t="inlineStr">
        <is>
          <t>样本购买点击比</t>
        </is>
      </c>
      <c r="P1" s="1" t="inlineStr">
        <is>
          <t>市场购买点击比</t>
        </is>
      </c>
      <c r="Q1" s="1" t="inlineStr">
        <is>
          <t>购买比差_百分点</t>
        </is>
      </c>
      <c r="R1" s="1" t="inlineStr">
        <is>
          <t>主要点击ASIN</t>
        </is>
      </c>
      <c r="S1" s="1" t="inlineStr">
        <is>
          <t>主要ASIN点击</t>
        </is>
      </c>
      <c r="T1" s="1" t="inlineStr">
        <is>
          <t>主要ASIN点击占比</t>
        </is>
      </c>
      <c r="U1" s="1" t="inlineStr">
        <is>
          <t>市场曝光</t>
        </is>
      </c>
      <c r="V1" s="1" t="inlineStr">
        <is>
          <t>市场点击</t>
        </is>
      </c>
      <c r="W1" s="1" t="inlineStr">
        <is>
          <t>市场购买</t>
        </is>
      </c>
      <c r="X1" s="1" t="inlineStr">
        <is>
          <t>市场率参考购买</t>
        </is>
      </c>
      <c r="Y1" s="1" t="inlineStr">
        <is>
          <t>分析线索</t>
        </is>
      </c>
      <c r="Z1" s="1" t="inlineStr">
        <is>
          <t>下一步检查</t>
        </is>
      </c>
      <c r="AA1" s="1" t="inlineStr">
        <is>
          <t>原稿SQP首行</t>
        </is>
      </c>
    </row>
    <row r="2" ht="65" customHeight="1">
      <c r="A2" s="7" t="n">
        <v>37</v>
      </c>
      <c r="B2" s="2" t="inlineStr">
        <is>
          <t>glass jars</t>
        </is>
      </c>
      <c r="C2" s="7" t="n">
        <v>35071</v>
      </c>
      <c r="D2" s="7" t="n">
        <v>2</v>
      </c>
      <c r="E2" s="7" t="n">
        <v>22665</v>
      </c>
      <c r="F2" s="7" t="n">
        <v>85</v>
      </c>
      <c r="G2" s="8">
        <f>F2/47159</f>
        <v>0.0018024131130855191</v>
      </c>
      <c r="H2" s="7" t="n">
        <v>28</v>
      </c>
      <c r="I2" s="7" t="n">
        <v>1</v>
      </c>
      <c r="J2" s="8">
        <f>I2/3778</f>
        <v>0.00026469031233456857</v>
      </c>
      <c r="K2" s="8">
        <f>IFERROR(IF(AND(ISNUMBER(F2),ISNUMBER(E2),E2&gt;0),F2/E2,""),"")</f>
        <v>0.0037502757555702626</v>
      </c>
      <c r="L2" s="8">
        <f>IFERROR(IF(AND(ISNUMBER(V2),ISNUMBER(U2),U2&gt;0),V2/U2,""),"")</f>
        <v>0.007469153733927728</v>
      </c>
      <c r="M2" s="9">
        <f>IFERROR(IF(AND(ISNUMBER(K2),ISNUMBER(L2)),(K2-L2)*100,""),"")</f>
        <v>-0.3718877978357465</v>
      </c>
      <c r="N2" s="8">
        <f>IFERROR(IF(AND(ISNUMBER(H2),ISNUMBER(F2),F2&gt;0),H2/F2,""),"")</f>
        <v>0.32941176470588235</v>
      </c>
      <c r="O2" s="8">
        <f>IFERROR(IF(AND(ISNUMBER(I2),ISNUMBER(F2),F2&gt;0),I2/F2,""),"")</f>
        <v>0.011764705882352941</v>
      </c>
      <c r="P2" s="8">
        <f>IFERROR(IF(AND(ISNUMBER(W2),ISNUMBER(V2),V2&gt;0),W2/V2,""),"")</f>
        <v>0.08093427485062465</v>
      </c>
      <c r="Q2" s="9">
        <f>IFERROR(IF(AND(ISNUMBER(O2),ISNUMBER(P2)),(O2-P2)*100,""),"")</f>
        <v>-6.9169568968271715</v>
      </c>
      <c r="R2" s="2" t="inlineStr">
        <is>
          <t>B0DGCVK1JL</t>
        </is>
      </c>
      <c r="S2" s="7" t="n">
        <v>84</v>
      </c>
      <c r="T2" s="8">
        <f>IFERROR(S2/F2,"")</f>
        <v>0.9882352941176471</v>
      </c>
      <c r="U2" s="7" t="n">
        <v>1232402</v>
      </c>
      <c r="V2" s="7" t="n">
        <v>9205</v>
      </c>
      <c r="W2" s="7" t="n">
        <v>745</v>
      </c>
      <c r="X2" s="9">
        <f>IFERROR(IF(ISNUMBER(P2),F2*P2,""),"")</f>
        <v>6.8794133623030955</v>
      </c>
      <c r="Y2" s="2" t="inlineStr">
        <is>
          <t>点击不足100，暂不作购买表现判断</t>
        </is>
      </c>
      <c r="Z2" s="2" t="inlineStr">
        <is>
          <t>先检查曝光与词意图；继续观察购买计数</t>
        </is>
      </c>
      <c r="AA2" s="7" t="n">
        <v>58</v>
      </c>
    </row>
    <row r="3" ht="65" customHeight="1">
      <c r="A3" s="7" t="n">
        <v>39</v>
      </c>
      <c r="B3" s="2" t="inlineStr">
        <is>
          <t>hydrojug</t>
        </is>
      </c>
      <c r="C3" s="7" t="n">
        <v>797748</v>
      </c>
      <c r="D3" s="7" t="n">
        <v>1</v>
      </c>
      <c r="E3" s="7" t="n">
        <v>21674</v>
      </c>
      <c r="F3" s="7" t="n">
        <v>93</v>
      </c>
      <c r="G3" s="8">
        <f>F3/47159</f>
        <v>0.0019720519943170977</v>
      </c>
      <c r="H3" s="7" t="n">
        <v>33</v>
      </c>
      <c r="I3" s="7" t="n">
        <v>0</v>
      </c>
      <c r="J3" s="8">
        <f>I3/3778</f>
        <v>0.0</v>
      </c>
      <c r="K3" s="8">
        <f>IFERROR(IF(AND(ISNUMBER(F3),ISNUMBER(E3),E3&gt;0),F3/E3,""),"")</f>
        <v>0.004290855402786749</v>
      </c>
      <c r="L3" s="8">
        <f>IFERROR(IF(AND(ISNUMBER(V3),ISNUMBER(U3),U3&gt;0),V3/U3,""),"")</f>
        <v>0.022899141452818406</v>
      </c>
      <c r="M3" s="9">
        <f>IFERROR(IF(AND(ISNUMBER(K3),ISNUMBER(L3)),(K3-L3)*100,""),"")</f>
        <v>-1.8608286050031657</v>
      </c>
      <c r="N3" s="8">
        <f>IFERROR(IF(AND(ISNUMBER(H3),ISNUMBER(F3),F3&gt;0),H3/F3,""),"")</f>
        <v>0.3548387096774194</v>
      </c>
      <c r="O3" s="8">
        <f>IFERROR(IF(AND(ISNUMBER(I3),ISNUMBER(F3),F3&gt;0),I3/F3,""),"")</f>
        <v>0.0</v>
      </c>
      <c r="P3" s="8">
        <f>IFERROR(IF(AND(ISNUMBER(W3),ISNUMBER(V3),V3&gt;0),W3/V3,""),"")</f>
        <v>0.015317717968751855</v>
      </c>
      <c r="Q3" s="9">
        <f>IFERROR(IF(AND(ISNUMBER(O3),ISNUMBER(P3)),(O3-P3)*100,""),"")</f>
        <v>-1.5317717968751854</v>
      </c>
      <c r="R3" s="2" t="inlineStr">
        <is>
          <t>B0DGCVK1JL</t>
        </is>
      </c>
      <c r="S3" s="7" t="n">
        <v>93</v>
      </c>
      <c r="T3" s="8">
        <f>IFERROR(S3/F3,"")</f>
        <v>1.0</v>
      </c>
      <c r="U3" s="7" t="n">
        <v>18388506</v>
      </c>
      <c r="V3" s="7" t="n">
        <v>421081</v>
      </c>
      <c r="W3" s="7" t="n">
        <v>6450</v>
      </c>
      <c r="X3" s="9">
        <f>IFERROR(IF(ISNUMBER(P3),F3*P3,""),"")</f>
        <v>1.4245477710939225</v>
      </c>
      <c r="Y3" s="2" t="inlineStr">
        <is>
          <t>点击不足100，暂不作购买表现判断</t>
        </is>
      </c>
      <c r="Z3" s="2" t="inlineStr">
        <is>
          <t>先检查曝光与词意图；继续观察购买计数</t>
        </is>
      </c>
      <c r="AA3" s="7" t="n">
        <v>275</v>
      </c>
    </row>
    <row r="4" ht="65" customHeight="1">
      <c r="A4" s="7" t="n">
        <v>54</v>
      </c>
      <c r="B4" s="2" t="inlineStr">
        <is>
          <t>glass jar</t>
        </is>
      </c>
      <c r="C4" s="7" t="n">
        <v>25706</v>
      </c>
      <c r="D4" s="7" t="n">
        <v>1</v>
      </c>
      <c r="E4" s="7" t="n">
        <v>16232</v>
      </c>
      <c r="F4" s="7" t="n">
        <v>68</v>
      </c>
      <c r="G4" s="8">
        <f>F4/47159</f>
        <v>0.0014419304904684154</v>
      </c>
      <c r="H4" s="7" t="n">
        <v>21</v>
      </c>
      <c r="I4" s="7" t="n">
        <v>3</v>
      </c>
      <c r="J4" s="8">
        <f>I4/3778</f>
        <v>0.0007940709370037057</v>
      </c>
      <c r="K4" s="8">
        <f>IFERROR(IF(AND(ISNUMBER(F4),ISNUMBER(E4),E4&gt;0),F4/E4,""),"")</f>
        <v>0.004189255791030064</v>
      </c>
      <c r="L4" s="8">
        <f>IFERROR(IF(AND(ISNUMBER(V4),ISNUMBER(U4),U4&gt;0),V4/U4,""),"")</f>
        <v>0.009378899130410451</v>
      </c>
      <c r="M4" s="9">
        <f>IFERROR(IF(AND(ISNUMBER(K4),ISNUMBER(L4)),(K4-L4)*100,""),"")</f>
        <v>-0.5189643339380388</v>
      </c>
      <c r="N4" s="8">
        <f>IFERROR(IF(AND(ISNUMBER(H4),ISNUMBER(F4),F4&gt;0),H4/F4,""),"")</f>
        <v>0.3088235294117647</v>
      </c>
      <c r="O4" s="8">
        <f>IFERROR(IF(AND(ISNUMBER(I4),ISNUMBER(F4),F4&gt;0),I4/F4,""),"")</f>
        <v>0.04411764705882353</v>
      </c>
      <c r="P4" s="8">
        <f>IFERROR(IF(AND(ISNUMBER(W4),ISNUMBER(V4),V4&gt;0),W4/V4,""),"")</f>
        <v>0.10130187144019528</v>
      </c>
      <c r="Q4" s="9">
        <f>IFERROR(IF(AND(ISNUMBER(O4),ISNUMBER(P4)),(O4-P4)*100,""),"")</f>
        <v>-5.718422438137175</v>
      </c>
      <c r="R4" s="2" t="inlineStr">
        <is>
          <t>B0DGCVK1JL</t>
        </is>
      </c>
      <c r="S4" s="7" t="n">
        <v>68</v>
      </c>
      <c r="T4" s="8">
        <f>IFERROR(S4/F4,"")</f>
        <v>1.0</v>
      </c>
      <c r="U4" s="7" t="n">
        <v>786233</v>
      </c>
      <c r="V4" s="7" t="n">
        <v>7374</v>
      </c>
      <c r="W4" s="7" t="n">
        <v>747</v>
      </c>
      <c r="X4" s="9">
        <f>IFERROR(IF(ISNUMBER(P4),F4*P4,""),"")</f>
        <v>6.888527257933279</v>
      </c>
      <c r="Y4" s="2" t="inlineStr">
        <is>
          <t>点击不足100，暂不作购买表现判断</t>
        </is>
      </c>
      <c r="Z4" s="2" t="inlineStr">
        <is>
          <t>先检查曝光与词意图；继续观察购买计数</t>
        </is>
      </c>
      <c r="AA4" s="7" t="n">
        <v>327</v>
      </c>
    </row>
    <row r="5" ht="65" customHeight="1">
      <c r="A5" s="7" t="n">
        <v>55</v>
      </c>
      <c r="B5" s="2" t="inlineStr">
        <is>
          <t>water storage</t>
        </is>
      </c>
      <c r="C5" s="7" t="n">
        <v>72840</v>
      </c>
      <c r="D5" s="7" t="n">
        <v>1</v>
      </c>
      <c r="E5" s="7" t="n">
        <v>15578</v>
      </c>
      <c r="F5" s="7" t="n">
        <v>89</v>
      </c>
      <c r="G5" s="8">
        <f>F5/47159</f>
        <v>0.0018872325537013083</v>
      </c>
      <c r="H5" s="7" t="n">
        <v>30</v>
      </c>
      <c r="I5" s="7" t="n">
        <v>1</v>
      </c>
      <c r="J5" s="8">
        <f>I5/3778</f>
        <v>0.00026469031233456857</v>
      </c>
      <c r="K5" s="8">
        <f>IFERROR(IF(AND(ISNUMBER(F5),ISNUMBER(E5),E5&gt;0),F5/E5,""),"")</f>
        <v>0.005713185261265887</v>
      </c>
      <c r="L5" s="8">
        <f>IFERROR(IF(AND(ISNUMBER(V5),ISNUMBER(U5),U5&gt;0),V5/U5,""),"")</f>
        <v>0.01530975357243982</v>
      </c>
      <c r="M5" s="9">
        <f>IFERROR(IF(AND(ISNUMBER(K5),ISNUMBER(L5)),(K5-L5)*100,""),"")</f>
        <v>-0.9596568311173934</v>
      </c>
      <c r="N5" s="8">
        <f>IFERROR(IF(AND(ISNUMBER(H5),ISNUMBER(F5),F5&gt;0),H5/F5,""),"")</f>
        <v>0.33707865168539325</v>
      </c>
      <c r="O5" s="8">
        <f>IFERROR(IF(AND(ISNUMBER(I5),ISNUMBER(F5),F5&gt;0),I5/F5,""),"")</f>
        <v>0.011235955056179775</v>
      </c>
      <c r="P5" s="8">
        <f>IFERROR(IF(AND(ISNUMBER(W5),ISNUMBER(V5),V5&gt;0),W5/V5,""),"")</f>
        <v>0.031169665809768637</v>
      </c>
      <c r="Q5" s="9">
        <f>IFERROR(IF(AND(ISNUMBER(O5),ISNUMBER(P5)),(O5-P5)*100,""),"")</f>
        <v>-1.9933710753588862</v>
      </c>
      <c r="R5" s="2" t="inlineStr">
        <is>
          <t>B0DGCVK1JL</t>
        </is>
      </c>
      <c r="S5" s="7" t="n">
        <v>89</v>
      </c>
      <c r="T5" s="8">
        <f>IFERROR(S5/F5,"")</f>
        <v>1.0</v>
      </c>
      <c r="U5" s="7" t="n">
        <v>1829422</v>
      </c>
      <c r="V5" s="7" t="n">
        <v>28008</v>
      </c>
      <c r="W5" s="7" t="n">
        <v>873</v>
      </c>
      <c r="X5" s="9">
        <f>IFERROR(IF(ISNUMBER(P5),F5*P5,""),"")</f>
        <v>2.7741002570694087</v>
      </c>
      <c r="Y5" s="2" t="inlineStr">
        <is>
          <t>点击不足100，暂不作购买表现判断</t>
        </is>
      </c>
      <c r="Z5" s="2" t="inlineStr">
        <is>
          <t>先检查曝光与词意图；继续观察购买计数</t>
        </is>
      </c>
      <c r="AA5" s="7" t="n">
        <v>298</v>
      </c>
    </row>
    <row r="6" ht="65" customHeight="1">
      <c r="A6" s="7" t="n">
        <v>84</v>
      </c>
      <c r="B6" s="2" t="inlineStr">
        <is>
          <t>glass carafe</t>
        </is>
      </c>
      <c r="C6" s="7" t="n">
        <v>8815</v>
      </c>
      <c r="D6" s="7" t="n">
        <v>1</v>
      </c>
      <c r="E6" s="7" t="n">
        <v>9690</v>
      </c>
      <c r="F6" s="7" t="n">
        <v>101</v>
      </c>
      <c r="G6" s="8">
        <f>F6/47159</f>
        <v>0.0021416908755486756</v>
      </c>
      <c r="H6" s="7" t="n">
        <v>31</v>
      </c>
      <c r="I6" s="7" t="n">
        <v>8</v>
      </c>
      <c r="J6" s="8">
        <f>I6/3778</f>
        <v>0.0021175224986765486</v>
      </c>
      <c r="K6" s="8">
        <f>IFERROR(IF(AND(ISNUMBER(F6),ISNUMBER(E6),E6&gt;0),F6/E6,""),"")</f>
        <v>0.01042311661506708</v>
      </c>
      <c r="L6" s="8">
        <f>IFERROR(IF(AND(ISNUMBER(V6),ISNUMBER(U6),U6&gt;0),V6/U6,""),"")</f>
        <v>0.012760174628507105</v>
      </c>
      <c r="M6" s="9">
        <f>IFERROR(IF(AND(ISNUMBER(K6),ISNUMBER(L6)),(K6-L6)*100,""),"")</f>
        <v>-0.23370580134400246</v>
      </c>
      <c r="N6" s="8">
        <f>IFERROR(IF(AND(ISNUMBER(H6),ISNUMBER(F6),F6&gt;0),H6/F6,""),"")</f>
        <v>0.3069306930693069</v>
      </c>
      <c r="O6" s="8">
        <f>IFERROR(IF(AND(ISNUMBER(I6),ISNUMBER(F6),F6&gt;0),I6/F6,""),"")</f>
        <v>0.07920792079207921</v>
      </c>
      <c r="P6" s="8">
        <f>IFERROR(IF(AND(ISNUMBER(W6),ISNUMBER(V6),V6&gt;0),W6/V6,""),"")</f>
        <v>0.09721416134648868</v>
      </c>
      <c r="Q6" s="9">
        <f>IFERROR(IF(AND(ISNUMBER(O6),ISNUMBER(P6)),(O6-P6)*100,""),"")</f>
        <v>-1.800624055440947</v>
      </c>
      <c r="R6" s="2" t="inlineStr">
        <is>
          <t>B0DGCVK1JL</t>
        </is>
      </c>
      <c r="S6" s="7" t="n">
        <v>101</v>
      </c>
      <c r="T6" s="8">
        <f>IFERROR(S6/F6,"")</f>
        <v>1.0</v>
      </c>
      <c r="U6" s="7" t="n">
        <v>270059</v>
      </c>
      <c r="V6" s="7" t="n">
        <v>3446</v>
      </c>
      <c r="W6" s="7" t="n">
        <v>335</v>
      </c>
      <c r="X6" s="9">
        <f>IFERROR(IF(ISNUMBER(P6),F6*P6,""),"")</f>
        <v>9.818630295995357</v>
      </c>
      <c r="Y6" s="2" t="inlineStr">
        <is>
          <t>购买基准计数少，先观察</t>
        </is>
      </c>
      <c r="Z6" s="2" t="inlineStr">
        <is>
          <t>核查词意图和主力ASIN；不凭比率判断购买优劣</t>
        </is>
      </c>
      <c r="AA6" s="7" t="n">
        <v>282</v>
      </c>
    </row>
    <row r="7" ht="65" customHeight="1">
      <c r="A7" s="7" t="n">
        <v>86</v>
      </c>
      <c r="B7" s="2" t="inlineStr">
        <is>
          <t>coffee pot</t>
        </is>
      </c>
      <c r="C7" s="7" t="n">
        <v>166924</v>
      </c>
      <c r="D7" s="7" t="n">
        <v>3</v>
      </c>
      <c r="E7" s="7" t="n">
        <v>9571</v>
      </c>
      <c r="F7" s="7" t="n">
        <v>94</v>
      </c>
      <c r="G7" s="8">
        <f>F7/47159</f>
        <v>0.001993256854471045</v>
      </c>
      <c r="H7" s="7" t="n">
        <v>49</v>
      </c>
      <c r="I7" s="7" t="n">
        <v>2</v>
      </c>
      <c r="J7" s="8">
        <f>I7/3778</f>
        <v>0.0005293806246691371</v>
      </c>
      <c r="K7" s="8">
        <f>IFERROR(IF(AND(ISNUMBER(F7),ISNUMBER(E7),E7&gt;0),F7/E7,""),"")</f>
        <v>0.009821335283669418</v>
      </c>
      <c r="L7" s="8">
        <f>IFERROR(IF(AND(ISNUMBER(V7),ISNUMBER(U7),U7&gt;0),V7/U7,""),"")</f>
        <v>0.012188258875226458</v>
      </c>
      <c r="M7" s="9">
        <f>IFERROR(IF(AND(ISNUMBER(K7),ISNUMBER(L7)),(K7-L7)*100,""),"")</f>
        <v>-0.23669235915570394</v>
      </c>
      <c r="N7" s="8">
        <f>IFERROR(IF(AND(ISNUMBER(H7),ISNUMBER(F7),F7&gt;0),H7/F7,""),"")</f>
        <v>0.5212765957446809</v>
      </c>
      <c r="O7" s="8">
        <f>IFERROR(IF(AND(ISNUMBER(I7),ISNUMBER(F7),F7&gt;0),I7/F7,""),"")</f>
        <v>0.02127659574468085</v>
      </c>
      <c r="P7" s="8">
        <f>IFERROR(IF(AND(ISNUMBER(W7),ISNUMBER(V7),V7&gt;0),W7/V7,""),"")</f>
        <v>0.10279263220439691</v>
      </c>
      <c r="Q7" s="9">
        <f>IFERROR(IF(AND(ISNUMBER(O7),ISNUMBER(P7)),(O7-P7)*100,""),"")</f>
        <v>-8.151603645971605</v>
      </c>
      <c r="R7" s="2" t="inlineStr">
        <is>
          <t>B0DGCVK1JL</t>
        </is>
      </c>
      <c r="S7" s="7" t="n">
        <v>89</v>
      </c>
      <c r="T7" s="8">
        <f>IFERROR(S7/F7,"")</f>
        <v>0.9468085106382979</v>
      </c>
      <c r="U7" s="7" t="n">
        <v>4280595</v>
      </c>
      <c r="V7" s="7" t="n">
        <v>52173</v>
      </c>
      <c r="W7" s="7" t="n">
        <v>5363</v>
      </c>
      <c r="X7" s="9">
        <f>IFERROR(IF(ISNUMBER(P7),F7*P7,""),"")</f>
        <v>9.66250742721331</v>
      </c>
      <c r="Y7" s="2" t="inlineStr">
        <is>
          <t>点击不足100，暂不作购买表现判断</t>
        </is>
      </c>
      <c r="Z7" s="2" t="inlineStr">
        <is>
          <t>先检查曝光与词意图；继续观察购买计数</t>
        </is>
      </c>
      <c r="AA7" s="7" t="n">
        <v>268</v>
      </c>
    </row>
    <row r="8" ht="65" customHeight="1">
      <c r="A8" s="7" t="n">
        <v>89</v>
      </c>
      <c r="B8" s="2" t="inlineStr">
        <is>
          <t>kitchen counter decor</t>
        </is>
      </c>
      <c r="C8" s="7" t="n">
        <v>66624</v>
      </c>
      <c r="D8" s="7" t="n">
        <v>1</v>
      </c>
      <c r="E8" s="7" t="n">
        <v>9230</v>
      </c>
      <c r="F8" s="7" t="n">
        <v>98</v>
      </c>
      <c r="G8" s="8">
        <f>F8/47159</f>
        <v>0.0020780762950868338</v>
      </c>
      <c r="H8" s="7" t="n">
        <v>55</v>
      </c>
      <c r="I8" s="7" t="n">
        <v>3</v>
      </c>
      <c r="J8" s="8">
        <f>I8/3778</f>
        <v>0.0007940709370037057</v>
      </c>
      <c r="K8" s="8">
        <f>IFERROR(IF(AND(ISNUMBER(F8),ISNUMBER(E8),E8&gt;0),F8/E8,""),"")</f>
        <v>0.010617551462621885</v>
      </c>
      <c r="L8" s="8">
        <f>IFERROR(IF(AND(ISNUMBER(V8),ISNUMBER(U8),U8&gt;0),V8/U8,""),"")</f>
        <v>0.013221267073149778</v>
      </c>
      <c r="M8" s="9">
        <f>IFERROR(IF(AND(ISNUMBER(K8),ISNUMBER(L8)),(K8-L8)*100,""),"")</f>
        <v>-0.26037156105278936</v>
      </c>
      <c r="N8" s="8">
        <f>IFERROR(IF(AND(ISNUMBER(H8),ISNUMBER(F8),F8&gt;0),H8/F8,""),"")</f>
        <v>0.5612244897959183</v>
      </c>
      <c r="O8" s="8">
        <f>IFERROR(IF(AND(ISNUMBER(I8),ISNUMBER(F8),F8&gt;0),I8/F8,""),"")</f>
        <v>0.030612244897959183</v>
      </c>
      <c r="P8" s="8">
        <f>IFERROR(IF(AND(ISNUMBER(W8),ISNUMBER(V8),V8&gt;0),W8/V8,""),"")</f>
        <v>0.02652924042124132</v>
      </c>
      <c r="Q8" s="9">
        <f>IFERROR(IF(AND(ISNUMBER(O8),ISNUMBER(P8)),(O8-P8)*100,""),"")</f>
        <v>0.4083004476717864</v>
      </c>
      <c r="R8" s="2" t="inlineStr">
        <is>
          <t>B0DGCVK1JL</t>
        </is>
      </c>
      <c r="S8" s="7" t="n">
        <v>98</v>
      </c>
      <c r="T8" s="8">
        <f>IFERROR(S8/F8,"")</f>
        <v>1.0</v>
      </c>
      <c r="U8" s="7" t="n">
        <v>1687811</v>
      </c>
      <c r="V8" s="7" t="n">
        <v>22315</v>
      </c>
      <c r="W8" s="7" t="n">
        <v>592</v>
      </c>
      <c r="X8" s="9">
        <f>IFERROR(IF(ISNUMBER(P8),F8*P8,""),"")</f>
        <v>2.599865561281649</v>
      </c>
      <c r="Y8" s="2" t="inlineStr">
        <is>
          <t>点击不足100，暂不作购买表现判断</t>
        </is>
      </c>
      <c r="Z8" s="2" t="inlineStr">
        <is>
          <t>先检查曝光与词意图；继续观察购买计数</t>
        </is>
      </c>
      <c r="AA8" s="7" t="n">
        <v>288</v>
      </c>
    </row>
    <row r="9" ht="65" customHeight="1">
      <c r="A9" s="7" t="n">
        <v>93</v>
      </c>
      <c r="B9" s="2" t="inlineStr">
        <is>
          <t>mason genie</t>
        </is>
      </c>
      <c r="C9" s="7" t="n">
        <v>85796</v>
      </c>
      <c r="D9" s="7" t="n">
        <v>3</v>
      </c>
      <c r="E9" s="7" t="n">
        <v>8648</v>
      </c>
      <c r="F9" s="7" t="n">
        <v>88</v>
      </c>
      <c r="G9" s="8">
        <f>F9/47159</f>
        <v>0.001866027693547361</v>
      </c>
      <c r="H9" s="7" t="n">
        <v>47</v>
      </c>
      <c r="I9" s="7" t="n">
        <v>5</v>
      </c>
      <c r="J9" s="8">
        <f>I9/3778</f>
        <v>0.0013234515616728428</v>
      </c>
      <c r="K9" s="8">
        <f>IFERROR(IF(AND(ISNUMBER(F9),ISNUMBER(E9),E9&gt;0),F9/E9,""),"")</f>
        <v>0.010175763182238668</v>
      </c>
      <c r="L9" s="8">
        <f>IFERROR(IF(AND(ISNUMBER(V9),ISNUMBER(U9),U9&gt;0),V9/U9,""),"")</f>
        <v>0.024822523095528067</v>
      </c>
      <c r="M9" s="9">
        <f>IFERROR(IF(AND(ISNUMBER(K9),ISNUMBER(L9)),(K9-L9)*100,""),"")</f>
        <v>-1.46467599132894</v>
      </c>
      <c r="N9" s="8">
        <f>IFERROR(IF(AND(ISNUMBER(H9),ISNUMBER(F9),F9&gt;0),H9/F9,""),"")</f>
        <v>0.5340909090909091</v>
      </c>
      <c r="O9" s="8">
        <f>IFERROR(IF(AND(ISNUMBER(I9),ISNUMBER(F9),F9&gt;0),I9/F9,""),"")</f>
        <v>0.056818181818181816</v>
      </c>
      <c r="P9" s="8">
        <f>IFERROR(IF(AND(ISNUMBER(W9),ISNUMBER(V9),V9&gt;0),W9/V9,""),"")</f>
        <v>0.06659772492244054</v>
      </c>
      <c r="Q9" s="9">
        <f>IFERROR(IF(AND(ISNUMBER(O9),ISNUMBER(P9)),(O9-P9)*100,""),"")</f>
        <v>-0.9779543104258721</v>
      </c>
      <c r="R9" s="2" t="inlineStr">
        <is>
          <t>B0DGCVK1JL</t>
        </is>
      </c>
      <c r="S9" s="7" t="n">
        <v>79</v>
      </c>
      <c r="T9" s="8">
        <f>IFERROR(S9/F9,"")</f>
        <v>0.8977272727272727</v>
      </c>
      <c r="U9" s="7" t="n">
        <v>1753045</v>
      </c>
      <c r="V9" s="7" t="n">
        <v>43515</v>
      </c>
      <c r="W9" s="7" t="n">
        <v>2898</v>
      </c>
      <c r="X9" s="9">
        <f>IFERROR(IF(ISNUMBER(P9),F9*P9,""),"")</f>
        <v>5.860599793174767</v>
      </c>
      <c r="Y9" s="2" t="inlineStr">
        <is>
          <t>点击不足100，暂不作购买表现判断</t>
        </is>
      </c>
      <c r="Z9" s="2" t="inlineStr">
        <is>
          <t>先检查曝光与词意图；继续观察购买计数</t>
        </is>
      </c>
      <c r="AA9" s="7" t="n">
        <v>343</v>
      </c>
    </row>
    <row r="10" ht="65" customHeight="1">
      <c r="A10" s="7" t="n">
        <v>97</v>
      </c>
      <c r="B10" s="2" t="inlineStr">
        <is>
          <t>pioneer woman kitchen stuff</t>
        </is>
      </c>
      <c r="C10" s="7" t="n">
        <v>39481</v>
      </c>
      <c r="D10" s="7" t="n">
        <v>2</v>
      </c>
      <c r="E10" s="7" t="n">
        <v>7802</v>
      </c>
      <c r="F10" s="7" t="n">
        <v>89</v>
      </c>
      <c r="G10" s="8">
        <f>F10/47159</f>
        <v>0.0018872325537013083</v>
      </c>
      <c r="H10" s="7" t="n">
        <v>50</v>
      </c>
      <c r="I10" s="7" t="n">
        <v>4</v>
      </c>
      <c r="J10" s="8">
        <f>I10/3778</f>
        <v>0.0010587612493382743</v>
      </c>
      <c r="K10" s="8">
        <f>IFERROR(IF(AND(ISNUMBER(F10),ISNUMBER(E10),E10&gt;0),F10/E10,""),"")</f>
        <v>0.011407331453473469</v>
      </c>
      <c r="L10" s="8">
        <f>IFERROR(IF(AND(ISNUMBER(V10),ISNUMBER(U10),U10&gt;0),V10/U10,""),"")</f>
        <v>0.01213851535909101</v>
      </c>
      <c r="M10" s="9">
        <f>IFERROR(IF(AND(ISNUMBER(K10),ISNUMBER(L10)),(K10-L10)*100,""),"")</f>
        <v>-0.07311839056175409</v>
      </c>
      <c r="N10" s="8">
        <f>IFERROR(IF(AND(ISNUMBER(H10),ISNUMBER(F10),F10&gt;0),H10/F10,""),"")</f>
        <v>0.5617977528089888</v>
      </c>
      <c r="O10" s="8">
        <f>IFERROR(IF(AND(ISNUMBER(I10),ISNUMBER(F10),F10&gt;0),I10/F10,""),"")</f>
        <v>0.0449438202247191</v>
      </c>
      <c r="P10" s="8">
        <f>IFERROR(IF(AND(ISNUMBER(W10),ISNUMBER(V10),V10&gt;0),W10/V10,""),"")</f>
        <v>0.026450999048525214</v>
      </c>
      <c r="Q10" s="9">
        <f>IFERROR(IF(AND(ISNUMBER(O10),ISNUMBER(P10)),(O10-P10)*100,""),"")</f>
        <v>1.8492821176193885</v>
      </c>
      <c r="R10" s="2" t="inlineStr">
        <is>
          <t>B0DGCVK1JL</t>
        </is>
      </c>
      <c r="S10" s="7" t="n">
        <v>79</v>
      </c>
      <c r="T10" s="8">
        <f>IFERROR(S10/F10,"")</f>
        <v>0.8876404494382022</v>
      </c>
      <c r="U10" s="7" t="n">
        <v>865839</v>
      </c>
      <c r="V10" s="7" t="n">
        <v>10510</v>
      </c>
      <c r="W10" s="7" t="n">
        <v>278</v>
      </c>
      <c r="X10" s="9">
        <f>IFERROR(IF(ISNUMBER(P10),F10*P10,""),"")</f>
        <v>2.354138915318744</v>
      </c>
      <c r="Y10" s="2" t="inlineStr">
        <is>
          <t>点击不足100，暂不作购买表现判断</t>
        </is>
      </c>
      <c r="Z10" s="2" t="inlineStr">
        <is>
          <t>先检查曝光与词意图；继续观察购买计数</t>
        </is>
      </c>
      <c r="AA10" s="7" t="n">
        <v>273</v>
      </c>
    </row>
  </sheetData>
  <autoFilter ref="A1:AA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65" customWidth="1" min="3" max="3"/>
  </cols>
  <sheetData>
    <row r="1" ht="48" customHeight="1">
      <c r="A1" s="1" t="inlineStr">
        <is>
          <t>字段</t>
        </is>
      </c>
      <c r="B1" s="1" t="inlineStr">
        <is>
          <t>主表第2行公式或取数</t>
        </is>
      </c>
      <c r="C1" s="1" t="inlineStr">
        <is>
          <t>说明</t>
        </is>
      </c>
    </row>
    <row r="2" ht="65" customHeight="1">
      <c r="A2" s="2" t="inlineStr">
        <is>
          <t>点击排名</t>
        </is>
      </c>
      <c r="B2" s="2" t="inlineStr">
        <is>
          <t>原始取数、按词汇总、排序或公开规则标签；不另造数值公式。</t>
        </is>
      </c>
      <c r="C2" s="2" t="inlineStr">
        <is>
          <t>见阅读说明；原稿SQP首行对应底稿源页。</t>
        </is>
      </c>
    </row>
    <row r="3" ht="65" customHeight="1">
      <c r="A3" s="2" t="inlineStr">
        <is>
          <t>搜索词</t>
        </is>
      </c>
      <c r="B3" s="2" t="inlineStr">
        <is>
          <t>原始取数、按词汇总、排序或公开规则标签；不另造数值公式。</t>
        </is>
      </c>
      <c r="C3" s="2" t="inlineStr">
        <is>
          <t>见阅读说明；原稿SQP首行对应底稿源页。</t>
        </is>
      </c>
    </row>
    <row r="4" ht="65" customHeight="1">
      <c r="A4" s="2" t="inlineStr">
        <is>
          <t>市场搜索量</t>
        </is>
      </c>
      <c r="B4" s="2" t="inlineStr">
        <is>
          <t>原始取数、按词汇总、排序或公开规则标签；不另造数值公式。</t>
        </is>
      </c>
      <c r="C4" s="2" t="inlineStr">
        <is>
          <t>见阅读说明；原稿SQP首行对应底稿源页。</t>
        </is>
      </c>
    </row>
    <row r="5" ht="65" customHeight="1">
      <c r="A5" s="2" t="inlineStr">
        <is>
          <t>收录ASIN数</t>
        </is>
      </c>
      <c r="B5" s="2" t="inlineStr">
        <is>
          <t>原始取数、按词汇总、排序或公开规则标签；不另造数值公式。</t>
        </is>
      </c>
      <c r="C5" s="2" t="inlineStr">
        <is>
          <t>见阅读说明；原稿SQP首行对应底稿源页。</t>
        </is>
      </c>
    </row>
    <row r="6" ht="65" customHeight="1">
      <c r="A6" s="2" t="inlineStr">
        <is>
          <t>样本曝光</t>
        </is>
      </c>
      <c r="B6" s="2" t="inlineStr">
        <is>
          <t>原始取数、按词汇总、排序或公开规则标签；不另造数值公式。</t>
        </is>
      </c>
      <c r="C6" s="2" t="inlineStr">
        <is>
          <t>见阅读说明；原稿SQP首行对应底稿源页。</t>
        </is>
      </c>
    </row>
    <row r="7" ht="65" customHeight="1">
      <c r="A7" s="2" t="inlineStr">
        <is>
          <t>样本点击</t>
        </is>
      </c>
      <c r="B7" s="2" t="inlineStr">
        <is>
          <t>原始取数、按词汇总、排序或公开规则标签；不另造数值公式。</t>
        </is>
      </c>
      <c r="C7" s="2" t="inlineStr">
        <is>
          <t>见阅读说明；原稿SQP首行对应底稿源页。</t>
        </is>
      </c>
    </row>
    <row r="8" ht="65" customHeight="1">
      <c r="A8" s="2" t="inlineStr">
        <is>
          <t>点击贡献占比</t>
        </is>
      </c>
      <c r="B8" s="2" t="inlineStr">
        <is>
          <t>=F2/47159</t>
        </is>
      </c>
      <c r="C8" s="2" t="inlineStr">
        <is>
          <t>贡献占比分母固定为全部2,410词；源版本变更需重算。</t>
        </is>
      </c>
    </row>
    <row r="9" ht="65" customHeight="1">
      <c r="A9" s="2" t="inlineStr">
        <is>
          <t>样本加购</t>
        </is>
      </c>
      <c r="B9" s="2" t="inlineStr">
        <is>
          <t>原始取数、按词汇总、排序或公开规则标签；不另造数值公式。</t>
        </is>
      </c>
      <c r="C9" s="2" t="inlineStr">
        <is>
          <t>见阅读说明；原稿SQP首行对应底稿源页。</t>
        </is>
      </c>
    </row>
    <row r="10" ht="65" customHeight="1">
      <c r="A10" s="2" t="inlineStr">
        <is>
          <t>样本购买</t>
        </is>
      </c>
      <c r="B10" s="2" t="inlineStr">
        <is>
          <t>原始取数、按词汇总、排序或公开规则标签；不另造数值公式。</t>
        </is>
      </c>
      <c r="C10" s="2" t="inlineStr">
        <is>
          <t>见阅读说明；原稿SQP首行对应底稿源页。</t>
        </is>
      </c>
    </row>
    <row r="11" ht="65" customHeight="1">
      <c r="A11" s="2" t="inlineStr">
        <is>
          <t>购买贡献占比</t>
        </is>
      </c>
      <c r="B11" s="2" t="inlineStr">
        <is>
          <t>=I2/3778</t>
        </is>
      </c>
      <c r="C11" s="2" t="inlineStr">
        <is>
          <t>贡献占比分母固定为全部2,410词；源版本变更需重算。</t>
        </is>
      </c>
    </row>
    <row r="12" ht="65" customHeight="1">
      <c r="A12" s="2" t="inlineStr">
        <is>
          <t>样本CTR</t>
        </is>
      </c>
      <c r="B12" s="2" t="inlineStr">
        <is>
          <t>=IFERROR(IF(AND(ISNUMBER(F2),ISNUMBER(E2),E2&gt;0),F2/E2,""),"")</t>
        </is>
      </c>
      <c r="C12" s="2" t="inlineStr">
        <is>
          <t>见阅读说明；原稿SQP首行对应底稿源页。</t>
        </is>
      </c>
    </row>
    <row r="13" ht="65" customHeight="1">
      <c r="A13" s="2" t="inlineStr">
        <is>
          <t>市场CTR</t>
        </is>
      </c>
      <c r="B13" s="2" t="inlineStr">
        <is>
          <t>=IFERROR(IF(AND(ISNUMBER(V2),ISNUMBER(U2),U2&gt;0),V2/U2,""),"")</t>
        </is>
      </c>
      <c r="C13" s="2" t="inlineStr">
        <is>
          <t>见阅读说明；原稿SQP首行对应底稿源页。</t>
        </is>
      </c>
    </row>
    <row r="14" ht="65" customHeight="1">
      <c r="A14" s="2" t="inlineStr">
        <is>
          <t>CTR差_百分点</t>
        </is>
      </c>
      <c r="B14" s="2" t="inlineStr">
        <is>
          <t>=IFERROR(IF(AND(ISNUMBER(K2),ISNUMBER(L2)),(K2-L2)*100,""),"")</t>
        </is>
      </c>
      <c r="C14" s="2" t="inlineStr">
        <is>
          <t>见阅读说明；原稿SQP首行对应底稿源页。</t>
        </is>
      </c>
    </row>
    <row r="15" ht="65" customHeight="1">
      <c r="A15" s="2" t="inlineStr">
        <is>
          <t>样本加购点击比</t>
        </is>
      </c>
      <c r="B15" s="2" t="inlineStr">
        <is>
          <t>=IFERROR(IF(AND(ISNUMBER(H2),ISNUMBER(F2),F2&gt;0),H2/F2,""),"")</t>
        </is>
      </c>
      <c r="C15" s="2" t="inlineStr">
        <is>
          <t>见阅读说明；原稿SQP首行对应底稿源页。</t>
        </is>
      </c>
    </row>
    <row r="16" ht="65" customHeight="1">
      <c r="A16" s="2" t="inlineStr">
        <is>
          <t>样本购买点击比</t>
        </is>
      </c>
      <c r="B16" s="2" t="inlineStr">
        <is>
          <t>=IFERROR(IF(AND(ISNUMBER(I2),ISNUMBER(F2),F2&gt;0),I2/F2,""),"")</t>
        </is>
      </c>
      <c r="C16" s="2" t="inlineStr">
        <is>
          <t>见阅读说明；原稿SQP首行对应底稿源页。</t>
        </is>
      </c>
    </row>
    <row r="17" ht="65" customHeight="1">
      <c r="A17" s="2" t="inlineStr">
        <is>
          <t>市场购买点击比</t>
        </is>
      </c>
      <c r="B17" s="2" t="inlineStr">
        <is>
          <t>=IFERROR(IF(AND(ISNUMBER(W2),ISNUMBER(V2),V2&gt;0),W2/V2,""),"")</t>
        </is>
      </c>
      <c r="C17" s="2" t="inlineStr">
        <is>
          <t>见阅读说明；原稿SQP首行对应底稿源页。</t>
        </is>
      </c>
    </row>
    <row r="18" ht="65" customHeight="1">
      <c r="A18" s="2" t="inlineStr">
        <is>
          <t>购买比差_百分点</t>
        </is>
      </c>
      <c r="B18" s="2" t="inlineStr">
        <is>
          <t>=IFERROR(IF(AND(ISNUMBER(O2),ISNUMBER(P2)),(O2-P2)*100,""),"")</t>
        </is>
      </c>
      <c r="C18" s="2" t="inlineStr">
        <is>
          <t>见阅读说明；原稿SQP首行对应底稿源页。</t>
        </is>
      </c>
    </row>
    <row r="19" ht="65" customHeight="1">
      <c r="A19" s="2" t="inlineStr">
        <is>
          <t>主要点击ASIN</t>
        </is>
      </c>
      <c r="B19" s="2" t="inlineStr">
        <is>
          <t>原始取数、按词汇总、排序或公开规则标签；不另造数值公式。</t>
        </is>
      </c>
      <c r="C19" s="2" t="inlineStr">
        <is>
          <t>见阅读说明；原稿SQP首行对应底稿源页。</t>
        </is>
      </c>
    </row>
    <row r="20" ht="65" customHeight="1">
      <c r="A20" s="2" t="inlineStr">
        <is>
          <t>主要ASIN点击</t>
        </is>
      </c>
      <c r="B20" s="2" t="inlineStr">
        <is>
          <t>原始取数、按词汇总、排序或公开规则标签；不另造数值公式。</t>
        </is>
      </c>
      <c r="C20" s="2" t="inlineStr">
        <is>
          <t>见阅读说明；原稿SQP首行对应底稿源页。</t>
        </is>
      </c>
    </row>
    <row r="21" ht="65" customHeight="1">
      <c r="A21" s="2" t="inlineStr">
        <is>
          <t>主要ASIN点击占比</t>
        </is>
      </c>
      <c r="B21" s="2" t="inlineStr">
        <is>
          <t>=IFERROR(S2/F2,"")</t>
        </is>
      </c>
      <c r="C21" s="2" t="inlineStr">
        <is>
          <t>见阅读说明；原稿SQP首行对应底稿源页。</t>
        </is>
      </c>
    </row>
    <row r="22" ht="65" customHeight="1">
      <c r="A22" s="2" t="inlineStr">
        <is>
          <t>市场曝光</t>
        </is>
      </c>
      <c r="B22" s="2" t="inlineStr">
        <is>
          <t>原始取数、按词汇总、排序或公开规则标签；不另造数值公式。</t>
        </is>
      </c>
      <c r="C22" s="2" t="inlineStr">
        <is>
          <t>见阅读说明；原稿SQP首行对应底稿源页。</t>
        </is>
      </c>
    </row>
    <row r="23" ht="65" customHeight="1">
      <c r="A23" s="2" t="inlineStr">
        <is>
          <t>市场点击</t>
        </is>
      </c>
      <c r="B23" s="2" t="inlineStr">
        <is>
          <t>原始取数、按词汇总、排序或公开规则标签；不另造数值公式。</t>
        </is>
      </c>
      <c r="C23" s="2" t="inlineStr">
        <is>
          <t>见阅读说明；原稿SQP首行对应底稿源页。</t>
        </is>
      </c>
    </row>
    <row r="24" ht="65" customHeight="1">
      <c r="A24" s="2" t="inlineStr">
        <is>
          <t>市场购买</t>
        </is>
      </c>
      <c r="B24" s="2" t="inlineStr">
        <is>
          <t>原始取数、按词汇总、排序或公开规则标签；不另造数值公式。</t>
        </is>
      </c>
      <c r="C24" s="2" t="inlineStr">
        <is>
          <t>见阅读说明；原稿SQP首行对应底稿源页。</t>
        </is>
      </c>
    </row>
    <row r="25" ht="65" customHeight="1">
      <c r="A25" s="2" t="inlineStr">
        <is>
          <t>市场率参考购买</t>
        </is>
      </c>
      <c r="B25" s="2" t="inlineStr">
        <is>
          <t>=IFERROR(IF(ISNUMBER(P2),F2*P2,""),"")</t>
        </is>
      </c>
      <c r="C25" s="2" t="inlineStr">
        <is>
          <t>见阅读说明；原稿SQP首行对应底稿源页。</t>
        </is>
      </c>
    </row>
    <row r="26" ht="65" customHeight="1">
      <c r="A26" s="2" t="inlineStr">
        <is>
          <t>分析线索</t>
        </is>
      </c>
      <c r="B26" s="2" t="inlineStr">
        <is>
          <t>原始取数、按词汇总、排序或公开规则标签；不另造数值公式。</t>
        </is>
      </c>
      <c r="C26" s="2" t="inlineStr">
        <is>
          <t>见阅读说明；原稿SQP首行对应底稿源页。</t>
        </is>
      </c>
    </row>
    <row r="27" ht="65" customHeight="1">
      <c r="A27" s="2" t="inlineStr">
        <is>
          <t>下一步检查</t>
        </is>
      </c>
      <c r="B27" s="2" t="inlineStr">
        <is>
          <t>原始取数、按词汇总、排序或公开规则标签；不另造数值公式。</t>
        </is>
      </c>
      <c r="C27" s="2" t="inlineStr">
        <is>
          <t>见阅读说明；原稿SQP首行对应底稿源页。</t>
        </is>
      </c>
    </row>
    <row r="28" ht="65" customHeight="1">
      <c r="A28" s="2" t="inlineStr">
        <is>
          <t>原稿SQP首行</t>
        </is>
      </c>
      <c r="B28" s="2" t="inlineStr">
        <is>
          <t>原始取数、按词汇总、排序或公开规则标签；不另造数值公式。</t>
        </is>
      </c>
      <c r="C28" s="2" t="inlineStr">
        <is>
          <t>见阅读说明；原稿SQP首行对应底稿源页。</t>
        </is>
      </c>
    </row>
    <row r="29" ht="65" customHeight="1">
      <c r="A29" s="2" t="inlineStr">
        <is>
          <t>曝光排名_仅曝光前100</t>
        </is>
      </c>
      <c r="B29" s="2" t="inlineStr">
        <is>
          <t>原始取数、按词汇总、排序或公开规则标签；不另造数值公式。</t>
        </is>
      </c>
      <c r="C29" s="2" t="inlineStr">
        <is>
          <t>见阅读说明；原稿SQP首行对应底稿源页。</t>
        </is>
      </c>
    </row>
  </sheetData>
  <autoFilter ref="A1:C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2026-10-13T08:24:41Z</dcterms:created>
  <dcterms:modified xmlns:dcterms="http://purl.org/dc/terms/" xmlns:xsi="http://www.w3.org/2001/XMLSchema-instance" xsi:type="dcterms:W3CDTF">2026-10-13T08:24:41Z</dcterms:modified>
</cp:coreProperties>
</file>